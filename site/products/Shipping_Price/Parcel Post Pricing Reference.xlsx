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ate Card Reference (source)" sheetId="2" r:id="rId6"/>
    <sheet name="Delivery Details and calculatio" sheetId="3" r:id="rId7"/>
    <sheet name="Country Master List" sheetId="4" r:id="rId8"/>
    <sheet name="Product Grams" sheetId="5" r:id="rId9"/>
    <sheet name="Product Pricing"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<sst xmlns="http://schemas.openxmlformats.org/spreadsheetml/2006/main" uniqueCount="325">
  <si>
    <t>This document was exported from Numbers. Each table was converted to an Excel spreadsheet. All other objects on each Numbers sheet were placed on separate work sheets. Please be aware that formula calculations may differ in Excel.</t>
  </si>
  <si>
    <t>Numbers Sheet Name</t>
  </si>
  <si>
    <t>Numbers Table Name</t>
  </si>
  <si>
    <t>Excel Spreadsheet Name</t>
  </si>
  <si>
    <t>Rate Card Reference (source)</t>
  </si>
  <si>
    <t>Table 1</t>
  </si>
  <si>
    <t>Australia Post MyPost Business — Rate Card Reference</t>
  </si>
  <si>
    <t>Source: MyPost Business Rates and Savings Guide, July 2026 (official PDF, user-provided). Domestic = Parcel Post (2+ business days). International = International Post Express.</t>
  </si>
  <si>
    <t>Do not edit this sheet by hand — it is the lookup source for every formula in this workbook. Update it only when Australia Post publishes a new rate card.</t>
  </si>
  <si>
    <t>DOMESTIC — Parcel Post, up to 5kg (own/AP packaging)</t>
  </si>
  <si>
    <t>Band</t>
  </si>
  <si>
    <t>Size</t>
  </si>
  <si>
    <t>Weight</t>
  </si>
  <si>
    <t>Zone 1 ($)</t>
  </si>
  <si>
    <t>Zone 2 ($)</t>
  </si>
  <si>
    <t>Zone 3 ($)</t>
  </si>
  <si>
    <t>Extra Small</t>
  </si>
  <si>
    <t>250g</t>
  </si>
  <si>
    <t>Small</t>
  </si>
  <si>
    <t>500g</t>
  </si>
  <si>
    <t>Medium</t>
  </si>
  <si>
    <t>1kg</t>
  </si>
  <si>
    <t>Large</t>
  </si>
  <si>
    <t>3kg</t>
  </si>
  <si>
    <t>Extra Large</t>
  </si>
  <si>
    <t>5kg</t>
  </si>
  <si>
    <t>INTERNATIONAL EXPRESS — key destinations</t>
  </si>
  <si>
    <t>NZ Zone1 ($)</t>
  </si>
  <si>
    <t>China Zone2 ($)</t>
  </si>
  <si>
    <t>USA&amp;Canada Zone3 ($)</t>
  </si>
  <si>
    <t>UK&amp;Ireland Zone4 ($)</t>
  </si>
  <si>
    <t>Up to 250g</t>
  </si>
  <si>
    <t>251g-500g</t>
  </si>
  <si>
    <t>501g-1kg</t>
  </si>
  <si>
    <t>1.001kg-1.5kg</t>
  </si>
  <si>
    <t>1.501kg-2kg</t>
  </si>
  <si>
    <t>INTERNATIONAL EXPRESS — other destinations</t>
  </si>
  <si>
    <t>Rest of Asia ($)</t>
  </si>
  <si>
    <t>Pacific Islands ($)</t>
  </si>
  <si>
    <t>Major Europe ($)</t>
  </si>
  <si>
    <t>Rest of World 1 ($)</t>
  </si>
  <si>
    <t>Rest of World 2 ($)</t>
  </si>
  <si>
    <t>Delivery Details and calculatio</t>
  </si>
  <si>
    <t>Delivery Rates — Live Calculation</t>
  </si>
  <si>
    <t>Your current MyPost Business Band:</t>
  </si>
  <si>
    <t>&lt;- EDIT THIS CELL when your band changes (check MyPost Business &gt; Send and Save tab). Everything below recalculates automatically.</t>
  </si>
  <si>
    <t>DOMESTIC (Parcel Post, up to 5kg)</t>
  </si>
  <si>
    <t>Zone 1</t>
  </si>
  <si>
    <t>Zone 2</t>
  </si>
  <si>
    <t>Zone 3</t>
  </si>
  <si>
    <t>NZ (Zone1)</t>
  </si>
  <si>
    <t>China (Zone2)</t>
  </si>
  <si>
    <t>USA&amp;Canada (Zone3)</t>
  </si>
  <si>
    <t>UK&amp;Ireland (Zone4)</t>
  </si>
  <si>
    <t>Rest of Asia</t>
  </si>
  <si>
    <t>Pacific Islands</t>
  </si>
  <si>
    <t>Major Europe</t>
  </si>
  <si>
    <t>Rest of World 1</t>
  </si>
  <si>
    <t>Rest of World 2</t>
  </si>
  <si>
    <t>Country Master List</t>
  </si>
  <si>
    <t>Country Shipping Rates (International Post Express)</t>
  </si>
  <si>
    <t>Rates pull live from 'Delivery Details and calculatio' at your current Band (set on that sheet). 'Asia Pacific' group uses the Rest of Asia rate for all countries in that group (Australia Post prices some Pacific Island nations marginally differently at Band 2+ - under $1 difference - check the Rate Card Reference sheet if shipping high volumes to Pacific Islands specifically).</t>
  </si>
  <si>
    <t>Country</t>
  </si>
  <si>
    <t>Zone</t>
  </si>
  <si>
    <t>Group</t>
  </si>
  <si>
    <t>Afghanistan</t>
  </si>
  <si>
    <t>Rest of World</t>
  </si>
  <si>
    <t>Albania</t>
  </si>
  <si>
    <t>UK &amp; Europe</t>
  </si>
  <si>
    <t>Algeria</t>
  </si>
  <si>
    <t>American Samoa</t>
  </si>
  <si>
    <t>Asia Pacific</t>
  </si>
  <si>
    <t>Andorra</t>
  </si>
  <si>
    <t>Angola</t>
  </si>
  <si>
    <t>Anguilla</t>
  </si>
  <si>
    <t>Antigua and Barbuda</t>
  </si>
  <si>
    <t>Argentina</t>
  </si>
  <si>
    <t>Armenia</t>
  </si>
  <si>
    <t>Aruba</t>
  </si>
  <si>
    <t>Austria</t>
  </si>
  <si>
    <t>Azerbaijan</t>
  </si>
  <si>
    <t>Bahamas</t>
  </si>
  <si>
    <t>Bahrain</t>
  </si>
  <si>
    <t>Bangladesh</t>
  </si>
  <si>
    <t>Barbados</t>
  </si>
  <si>
    <t>Belarus</t>
  </si>
  <si>
    <t>Belgium</t>
  </si>
  <si>
    <t>Belize</t>
  </si>
  <si>
    <t>Benin</t>
  </si>
  <si>
    <t>Bermuda</t>
  </si>
  <si>
    <t>Bhutan</t>
  </si>
  <si>
    <t>Bolivia</t>
  </si>
  <si>
    <t>Bonaire, Eustatius and Saba</t>
  </si>
  <si>
    <t>Bosnia and Herzegovina</t>
  </si>
  <si>
    <t>Botswana</t>
  </si>
  <si>
    <t>Brazil</t>
  </si>
  <si>
    <t>British Indian Ocean Territory</t>
  </si>
  <si>
    <t>Brunei Darussalam</t>
  </si>
  <si>
    <t>Bulgaria</t>
  </si>
  <si>
    <t>Burkina Faso</t>
  </si>
  <si>
    <t>Burundi</t>
  </si>
  <si>
    <t>Cabo Verde (formerly Cape Verde)</t>
  </si>
  <si>
    <t>Cambodia</t>
  </si>
  <si>
    <t>Cameroon</t>
  </si>
  <si>
    <t>Canada</t>
  </si>
  <si>
    <t>USA &amp; Canada</t>
  </si>
  <si>
    <t>Cayman Islands</t>
  </si>
  <si>
    <t>Central African Republic</t>
  </si>
  <si>
    <t>Chad</t>
  </si>
  <si>
    <t>Chile</t>
  </si>
  <si>
    <t>China</t>
  </si>
  <si>
    <t>Colombia</t>
  </si>
  <si>
    <t>Comoros</t>
  </si>
  <si>
    <t>Congo (Democratic Republic)</t>
  </si>
  <si>
    <t>Congo (Republic)</t>
  </si>
  <si>
    <t>Cook Islands</t>
  </si>
  <si>
    <t>Costa Rica</t>
  </si>
  <si>
    <t>Cote d'Ivoire</t>
  </si>
  <si>
    <t>Croatia</t>
  </si>
  <si>
    <t>Cuba</t>
  </si>
  <si>
    <t>Curaçao</t>
  </si>
  <si>
    <t>Cyprus</t>
  </si>
  <si>
    <t>Czechia (Czech Republic)</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</si>
  <si>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</si>
  <si>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</si>
  <si>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</si>
  <si>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</si>
  <si>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</si>
  <si>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</si>
  <si>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</si>
  <si>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</si>
  <si>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</si>
  <si>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</si>
  <si>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</si>
  <si>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</si>
  <si>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</si>
  <si>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</si>
  <si>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</si>
  <si>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</si>
  <si>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</si>
  <si>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</si>
  <si>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</si>
  <si>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</si>
  <si>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</si>
  <si>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</si>
  <si>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</si>
  <si>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</si>
  <si>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</si>
  <si>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</si>
  <si>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</si>
  <si>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</si>
  <si>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</si>
  <si>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</si>
  <si>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</si>
  <si>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</si>
  <si>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</si>
  <si>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</si>
  <si>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</si>
  <si>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Holy See</t>
  </si>
  <si>
    <t>Honduras</t>
  </si>
  <si>
    <t>Hong Kong</t>
  </si>
  <si>
    <t>Hungary</t>
  </si>
  <si>
    <t>Iceland</t>
  </si>
  <si>
    <t>India</t>
  </si>
  <si>
    <t>Indonesia</t>
  </si>
  <si>
    <t>Iran</t>
  </si>
  <si>
    <t>Iraq</t>
  </si>
  <si>
    <t>Ireland</t>
  </si>
  <si>
    <t>UK &amp; Ireland</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</si>
  <si>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</si>
  <si>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</si>
  <si>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</si>
  <si>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</si>
  <si>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</si>
  <si>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</si>
  <si>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</si>
  <si>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</si>
  <si>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</si>
  <si>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</si>
  <si>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</si>
  <si>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</si>
  <si>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</si>
  <si>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</si>
  <si>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</si>
  <si>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</si>
  <si>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</si>
  <si>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</si>
  <si>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</si>
  <si>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</si>
  <si>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</si>
  <si>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</si>
  <si>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</si>
  <si>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</si>
  <si>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</si>
  <si>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</si>
  <si>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</si>
  <si>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</si>
  <si>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</si>
  <si>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</si>
  <si>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</si>
  <si>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Mexico</t>
  </si>
  <si>
    <t>Micronesia</t>
  </si>
  <si>
    <t>Moldova</t>
  </si>
  <si>
    <t>Monaco</t>
  </si>
  <si>
    <t>Mongolia</t>
  </si>
  <si>
    <t>Montenegro</t>
  </si>
  <si>
    <t>Montserrat</t>
  </si>
  <si>
    <t>Morocco</t>
  </si>
  <si>
    <t>Mozambique</t>
  </si>
  <si>
    <t>Myanmar (Burma)</t>
  </si>
  <si>
    <t>Namibia</t>
  </si>
  <si>
    <t>Nauru</t>
  </si>
  <si>
    <t>Nepal</t>
  </si>
  <si>
    <t>Netherlands</t>
  </si>
  <si>
    <t>New Caledonia</t>
  </si>
  <si>
    <t>New Zealand</t>
  </si>
  <si>
    <t>NZ</t>
  </si>
  <si>
    <t>Nicaragua</t>
  </si>
  <si>
    <t>Niger</t>
  </si>
  <si>
    <t>Nigeria</t>
  </si>
  <si>
    <t>Niue</t>
  </si>
  <si>
    <t>North Korea</t>
  </si>
  <si>
    <t>North Macedonia</t>
  </si>
  <si>
    <t>Northern Mariana Islands</t>
  </si>
  <si>
    <t>Norway</t>
  </si>
  <si>
    <t>Oman</t>
  </si>
  <si>
    <t>Pakistan</t>
  </si>
  <si>
    <t>Palau</t>
  </si>
  <si>
    <t>Panama</t>
  </si>
  <si>
    <t>Papua New Guinea</t>
  </si>
  <si>
    <t>Paraguay</t>
  </si>
  <si>
    <t>Peru</t>
  </si>
  <si>
    <t>Philippines</t>
  </si>
  <si>
    <t>Pitcairn Islands</t>
  </si>
  <si>
    <t>Poland</t>
  </si>
  <si>
    <t>Portugal</t>
  </si>
  <si>
    <t>Puerto Rico</t>
  </si>
  <si>
    <t>Qatar</t>
  </si>
  <si>
    <t>Reunion</t>
  </si>
  <si>
    <t>Romania</t>
  </si>
  <si>
    <t>Russian Federation</t>
  </si>
  <si>
    <t>Rwanda</t>
  </si>
  <si>
    <t>Saint Helena, Ascension and Tristan da Cunha</t>
  </si>
  <si>
    <t>Saint Kitts and Nevis</t>
  </si>
  <si>
    <t>Saint Lucia</t>
  </si>
  <si>
    <t>Saint Martin (French part)</t>
  </si>
  <si>
    <t>Saint Pierre and Miquelon</t>
  </si>
  <si>
    <t>Saint Vincent and the Grenadines</t>
  </si>
  <si>
    <t>Samoa</t>
  </si>
  <si>
    <t>Sao Tome and Principe</t>
  </si>
  <si>
    <t>Saudi Arabia</t>
  </si>
  <si>
    <t>Senegal</t>
  </si>
  <si>
    <t>Serbia</t>
  </si>
  <si>
    <t>Seychelles</t>
  </si>
  <si>
    <t>Sierra Leone</t>
  </si>
  <si>
    <t>Singapore</t>
  </si>
  <si>
    <t>Slovak Republic (Slovakia)</t>
  </si>
  <si>
    <t>Slovenia</t>
  </si>
  <si>
    <t>Solomon Islands</t>
  </si>
  <si>
    <t>Somalia</t>
  </si>
  <si>
    <t>South Africa</t>
  </si>
  <si>
    <t>South Korea</t>
  </si>
  <si>
    <t>South Sudan</t>
  </si>
  <si>
    <t>Spain</t>
  </si>
  <si>
    <t>Sri Lanka</t>
  </si>
  <si>
    <t>Suriname</t>
  </si>
  <si>
    <t>Sweden</t>
  </si>
  <si>
    <t>Switzerland</t>
  </si>
  <si>
    <t>Syrian Arab Republic</t>
  </si>
  <si>
    <t>Taiwan</t>
  </si>
  <si>
    <t>Tajikistan</t>
  </si>
  <si>
    <t>Tanzania</t>
  </si>
  <si>
    <t>Thailand</t>
  </si>
  <si>
    <t>Timor Leste</t>
  </si>
  <si>
    <t>Togo</t>
  </si>
  <si>
    <t>Tokelau Islands</t>
  </si>
  <si>
    <t>Tonga</t>
  </si>
  <si>
    <t>Trinidad and Tobago</t>
  </si>
  <si>
    <t>Tunisia</t>
  </si>
  <si>
    <t>Turkiye</t>
  </si>
  <si>
    <t>Turkmenistan</t>
  </si>
  <si>
    <t>Turks and Caicos Islands</t>
  </si>
  <si>
    <t>Tuvalu</t>
  </si>
  <si>
    <t>Uganda</t>
  </si>
  <si>
    <t>Ukraine</t>
  </si>
  <si>
    <t>United Arab Emirates</t>
  </si>
  <si>
    <t>United Kingdom (including Northern Ireland)</t>
  </si>
  <si>
    <t>United States</t>
  </si>
  <si>
    <t>United States Minor Outlying Islands</t>
  </si>
  <si>
    <t>Uruguay</t>
  </si>
  <si>
    <t>Uzbekistan</t>
  </si>
  <si>
    <t>Vanuatu</t>
  </si>
  <si>
    <t>Vatican City</t>
  </si>
  <si>
    <t>Venezuela, Bolivarian Republic of</t>
  </si>
  <si>
    <t>Vietnam</t>
  </si>
  <si>
    <t>Virgin Islands (British)</t>
  </si>
  <si>
    <t>Virgin Islands (U.S.)</t>
  </si>
  <si>
    <t>Wallis and Futuna</t>
  </si>
  <si>
    <t>Yemen</t>
  </si>
  <si>
    <t>Zambia</t>
  </si>
  <si>
    <t>Zimbabwe</t>
  </si>
  <si>
    <t>Product Grams</t>
  </si>
  <si>
    <t>Product Weights (for postage size selection)</t>
  </si>
  <si>
    <t>Product Name</t>
  </si>
  <si>
    <t>Variation</t>
  </si>
  <si>
    <t>Gram Weight</t>
  </si>
  <si>
    <t>Moringa</t>
  </si>
  <si>
    <t>100g</t>
  </si>
  <si>
    <t>200g</t>
  </si>
  <si>
    <t>Dried Curry Leaves</t>
  </si>
  <si>
    <t>30g</t>
  </si>
  <si>
    <t xml:space="preserve">Darjeeling Black Tea </t>
  </si>
  <si>
    <t>Combo pack</t>
  </si>
  <si>
    <t xml:space="preserve">100g + 30g </t>
  </si>
  <si>
    <t xml:space="preserve">Soap </t>
  </si>
  <si>
    <t>95g</t>
  </si>
  <si>
    <t xml:space="preserve">Moringa + Soap </t>
  </si>
  <si>
    <t>100g + 95</t>
  </si>
  <si>
    <t>Product Pricing</t>
  </si>
  <si>
    <t>Gram</t>
  </si>
  <si>
    <t>Discounted Price ($)</t>
  </si>
  <si>
    <t>Actual Price ($)</t>
  </si>
  <si>
    <t xml:space="preserve">Moringa 3 + 1 </t>
  </si>
  <si>
    <t xml:space="preserve">Moringa </t>
  </si>
  <si>
    <t>400g</t>
  </si>
</sst>
</file>

<file path=xl/styles.xml><?xml version="1.0" encoding="utf-8"?>
<styleSheet xmlns="http://schemas.openxmlformats.org/spreadsheetml/2006/main">
  <numFmts count="2">
    <numFmt numFmtId="0" formatCode="General"/>
    <numFmt numFmtId="59" formatCode="&quot;$&quot;#,##0.00"/>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4"/>
      <color indexed="8"/>
      <name val="Arial"/>
    </font>
    <font>
      <sz val="9"/>
      <color indexed="14"/>
      <name val="Arial"/>
    </font>
    <font>
      <sz val="11"/>
      <color indexed="8"/>
      <name val="Arial"/>
    </font>
    <font>
      <sz val="10"/>
      <color indexed="12"/>
      <name val="Arial"/>
    </font>
    <font>
      <sz val="10"/>
      <color indexed="8"/>
      <name val="Arial"/>
    </font>
    <font>
      <sz val="12"/>
      <color indexed="8"/>
      <name val="Arial"/>
    </font>
    <font>
      <sz val="13"/>
      <color indexed="8"/>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s>
  <borders count="1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5"/>
      </bottom>
      <diagonal/>
    </border>
    <border>
      <left/>
      <right/>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3"/>
      </right>
      <top/>
      <bottom/>
      <diagonal/>
    </border>
    <border>
      <left style="thin">
        <color indexed="13"/>
      </left>
      <right/>
      <top style="thin">
        <color indexed="15"/>
      </top>
      <bottom/>
      <diagonal/>
    </border>
    <border>
      <left/>
      <right/>
      <top style="thin">
        <color indexed="15"/>
      </top>
      <bottom/>
      <diagonal/>
    </border>
    <border>
      <left/>
      <right style="thin">
        <color indexed="13"/>
      </right>
      <top/>
      <bottom style="thin">
        <color indexed="15"/>
      </bottom>
      <diagonal/>
    </border>
    <border>
      <left style="thin">
        <color indexed="13"/>
      </left>
      <right style="thin">
        <color indexed="15"/>
      </right>
      <top/>
      <bottom/>
      <diagonal/>
    </border>
    <border>
      <left style="thin">
        <color indexed="15"/>
      </left>
      <right/>
      <top/>
      <bottom/>
      <diagonal/>
    </border>
    <border>
      <left style="thin">
        <color indexed="15"/>
      </left>
      <right/>
      <top/>
      <bottom style="thin">
        <color indexed="13"/>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49" fontId="7" fillId="4" borderId="4" applyNumberFormat="1"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8" fillId="4" borderId="7" applyNumberFormat="1" applyFont="1" applyFill="1" applyBorder="1" applyAlignment="1" applyProtection="0">
      <alignment vertical="bottom"/>
    </xf>
    <xf numFmtId="0" fontId="0" fillId="4" borderId="8" applyNumberFormat="0" applyFont="1" applyFill="1" applyBorder="1" applyAlignment="1" applyProtection="0">
      <alignment vertical="bottom"/>
    </xf>
    <xf numFmtId="49" fontId="9" fillId="5" borderId="9"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1" fontId="0" fillId="4" borderId="9" applyNumberFormat="1" applyFont="1" applyFill="1" applyBorder="1" applyAlignment="1" applyProtection="0">
      <alignment vertical="bottom"/>
    </xf>
    <xf numFmtId="49" fontId="0" fillId="4" borderId="9" applyNumberFormat="1" applyFont="1" applyFill="1" applyBorder="1" applyAlignment="1" applyProtection="0">
      <alignment vertical="bottom"/>
    </xf>
    <xf numFmtId="59" fontId="10" fillId="4" borderId="9"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4" borderId="14" applyNumberFormat="1" applyFont="1" applyFill="1" applyBorder="1" applyAlignment="1" applyProtection="0">
      <alignment vertical="bottom"/>
    </xf>
    <xf numFmtId="1" fontId="11" fillId="6" borderId="9" applyNumberFormat="1" applyFont="1" applyFill="1" applyBorder="1" applyAlignment="1" applyProtection="0">
      <alignment vertical="bottom"/>
    </xf>
    <xf numFmtId="49" fontId="7" fillId="4" borderId="15" applyNumberFormat="1" applyFont="1" applyFill="1" applyBorder="1" applyAlignment="1" applyProtection="0">
      <alignment vertical="bottom"/>
    </xf>
    <xf numFmtId="0" fontId="0" applyNumberFormat="1" applyFont="1" applyFill="0" applyBorder="0" applyAlignment="1" applyProtection="0">
      <alignment vertical="bottom"/>
    </xf>
    <xf numFmtId="49" fontId="12" fillId="4" borderId="1" applyNumberFormat="1" applyFont="1" applyFill="1" applyBorder="1" applyAlignment="1" applyProtection="0">
      <alignment vertical="bottom"/>
    </xf>
    <xf numFmtId="49" fontId="7" fillId="4" borderId="4" applyNumberFormat="1" applyFont="1" applyFill="1" applyBorder="1" applyAlignment="1" applyProtection="0">
      <alignment vertical="bottom" wrapText="1"/>
    </xf>
    <xf numFmtId="0" fontId="0" fillId="4" borderId="7" applyNumberFormat="0" applyFont="1" applyFill="1" applyBorder="1" applyAlignment="1" applyProtection="0">
      <alignment vertical="bottom"/>
    </xf>
    <xf numFmtId="49" fontId="10" fillId="4" borderId="9" applyNumberFormat="1" applyFont="1" applyFill="1" applyBorder="1" applyAlignment="1" applyProtection="0">
      <alignment vertical="bottom"/>
    </xf>
    <xf numFmtId="1" fontId="10" fillId="4" borderId="9" applyNumberFormat="1" applyFont="1" applyFill="1" applyBorder="1" applyAlignment="1" applyProtection="0">
      <alignmen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595959"/>
      <rgbColor rgb="ffbfbfbf"/>
      <rgbColor rgb="ffc00000"/>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42</v>
      </c>
      <c r="C11" s="3"/>
      <c r="D11" s="3"/>
    </row>
    <row r="12">
      <c r="B12" s="4"/>
      <c r="C12" t="s" s="4">
        <v>5</v>
      </c>
      <c r="D12" t="s" s="5">
        <v>42</v>
      </c>
    </row>
    <row r="13">
      <c r="B13" t="s" s="3">
        <v>59</v>
      </c>
      <c r="C13" s="3"/>
      <c r="D13" s="3"/>
    </row>
    <row r="14">
      <c r="B14" s="4"/>
      <c r="C14" t="s" s="4">
        <v>5</v>
      </c>
      <c r="D14" t="s" s="5">
        <v>59</v>
      </c>
    </row>
    <row r="15">
      <c r="B15" t="s" s="3">
        <v>301</v>
      </c>
      <c r="C15" s="3"/>
      <c r="D15" s="3"/>
    </row>
    <row r="16">
      <c r="B16" s="4"/>
      <c r="C16" t="s" s="4">
        <v>5</v>
      </c>
      <c r="D16" t="s" s="5">
        <v>301</v>
      </c>
    </row>
    <row r="17">
      <c r="B17" t="s" s="3">
        <v>318</v>
      </c>
      <c r="C17" s="3"/>
      <c r="D17" s="3"/>
    </row>
    <row r="18">
      <c r="B18" s="4"/>
      <c r="C18" t="s" s="4">
        <v>5</v>
      </c>
      <c r="D18" t="s" s="5">
        <v>318</v>
      </c>
    </row>
  </sheetData>
  <mergeCells count="1">
    <mergeCell ref="B3:D3"/>
  </mergeCells>
  <hyperlinks>
    <hyperlink ref="D10" location="'Rate Card Reference (source)'!R1C1" tooltip="" display="Rate Card Reference (source)"/>
    <hyperlink ref="D12" location="'Delivery Details and calculatio'!R1C1" tooltip="" display="Delivery Details and calculatio"/>
    <hyperlink ref="D14" location="'Country Master List'!R1C1" tooltip="" display="Country Master List"/>
    <hyperlink ref="D16" location="'Product Grams'!R1C1" tooltip="" display="Product Grams"/>
    <hyperlink ref="D18" location="'Product Pricing'!R1C1" tooltip="" display="Product Pricing"/>
  </hyperlinks>
</worksheet>
</file>

<file path=xl/worksheets/sheet2.xml><?xml version="1.0" encoding="utf-8"?>
<worksheet xmlns:r="http://schemas.openxmlformats.org/officeDocument/2006/relationships" xmlns="http://schemas.openxmlformats.org/spreadsheetml/2006/main">
  <dimension ref="A1:G104"/>
  <sheetViews>
    <sheetView workbookViewId="0" showGridLines="0" defaultGridColor="1"/>
  </sheetViews>
  <sheetFormatPr defaultColWidth="8.66667" defaultRowHeight="15" customHeight="1" outlineLevelRow="0" outlineLevelCol="0"/>
  <cols>
    <col min="1" max="1" width="8" style="6" customWidth="1"/>
    <col min="2" max="2" width="16" style="6" customWidth="1"/>
    <col min="3" max="3" width="22" style="6" customWidth="1"/>
    <col min="4" max="7" width="16" style="6" customWidth="1"/>
    <col min="8" max="16384" width="8.67188" style="6" customWidth="1"/>
  </cols>
  <sheetData>
    <row r="1" ht="18.5" customHeight="1">
      <c r="A1" t="s" s="7">
        <v>6</v>
      </c>
      <c r="B1" s="8"/>
      <c r="C1" s="8"/>
      <c r="D1" s="8"/>
      <c r="E1" s="8"/>
      <c r="F1" s="8"/>
      <c r="G1" s="9"/>
    </row>
    <row r="2" ht="13.55" customHeight="1">
      <c r="A2" t="s" s="10">
        <v>7</v>
      </c>
      <c r="B2" s="11"/>
      <c r="C2" s="11"/>
      <c r="D2" s="11"/>
      <c r="E2" s="11"/>
      <c r="F2" s="11"/>
      <c r="G2" s="12"/>
    </row>
    <row r="3" ht="13.55" customHeight="1">
      <c r="A3" t="s" s="10">
        <v>8</v>
      </c>
      <c r="B3" s="11"/>
      <c r="C3" s="11"/>
      <c r="D3" s="11"/>
      <c r="E3" s="11"/>
      <c r="F3" s="11"/>
      <c r="G3" s="12"/>
    </row>
    <row r="4" ht="13.55" customHeight="1">
      <c r="A4" s="13"/>
      <c r="B4" s="11"/>
      <c r="C4" s="11"/>
      <c r="D4" s="11"/>
      <c r="E4" s="11"/>
      <c r="F4" s="11"/>
      <c r="G4" s="12"/>
    </row>
    <row r="5" ht="14.6" customHeight="1">
      <c r="A5" t="s" s="14">
        <v>9</v>
      </c>
      <c r="B5" s="15"/>
      <c r="C5" s="15"/>
      <c r="D5" s="15"/>
      <c r="E5" s="15"/>
      <c r="F5" s="15"/>
      <c r="G5" s="12"/>
    </row>
    <row r="6" ht="13.65" customHeight="1">
      <c r="A6" t="s" s="16">
        <v>10</v>
      </c>
      <c r="B6" t="s" s="16">
        <v>11</v>
      </c>
      <c r="C6" t="s" s="16">
        <v>12</v>
      </c>
      <c r="D6" t="s" s="16">
        <v>13</v>
      </c>
      <c r="E6" t="s" s="16">
        <v>14</v>
      </c>
      <c r="F6" t="s" s="16">
        <v>15</v>
      </c>
      <c r="G6" s="17"/>
    </row>
    <row r="7" ht="13.65" customHeight="1">
      <c r="A7" s="18">
        <v>0</v>
      </c>
      <c r="B7" t="s" s="19">
        <v>16</v>
      </c>
      <c r="C7" t="s" s="19">
        <v>17</v>
      </c>
      <c r="D7" s="20">
        <v>10.2</v>
      </c>
      <c r="E7" s="20">
        <v>10.2</v>
      </c>
      <c r="F7" s="20">
        <v>10.2</v>
      </c>
      <c r="G7" s="17"/>
    </row>
    <row r="8" ht="13.65" customHeight="1">
      <c r="A8" s="18">
        <v>0</v>
      </c>
      <c r="B8" t="s" s="19">
        <v>18</v>
      </c>
      <c r="C8" t="s" s="19">
        <v>19</v>
      </c>
      <c r="D8" s="20">
        <v>11.7</v>
      </c>
      <c r="E8" s="20">
        <v>11.7</v>
      </c>
      <c r="F8" s="20">
        <v>11.7</v>
      </c>
      <c r="G8" s="17"/>
    </row>
    <row r="9" ht="13.65" customHeight="1">
      <c r="A9" s="18">
        <v>0</v>
      </c>
      <c r="B9" t="s" s="19">
        <v>20</v>
      </c>
      <c r="C9" t="s" s="19">
        <v>21</v>
      </c>
      <c r="D9" s="20">
        <v>16</v>
      </c>
      <c r="E9" s="20">
        <v>16</v>
      </c>
      <c r="F9" s="20">
        <v>16</v>
      </c>
      <c r="G9" s="17"/>
    </row>
    <row r="10" ht="13.65" customHeight="1">
      <c r="A10" s="18">
        <v>0</v>
      </c>
      <c r="B10" t="s" s="19">
        <v>22</v>
      </c>
      <c r="C10" t="s" s="19">
        <v>23</v>
      </c>
      <c r="D10" s="20">
        <v>20.25</v>
      </c>
      <c r="E10" s="20">
        <v>20.25</v>
      </c>
      <c r="F10" s="20">
        <v>20.25</v>
      </c>
      <c r="G10" s="17"/>
    </row>
    <row r="11" ht="13.65" customHeight="1">
      <c r="A11" s="18">
        <v>0</v>
      </c>
      <c r="B11" t="s" s="19">
        <v>24</v>
      </c>
      <c r="C11" t="s" s="19">
        <v>25</v>
      </c>
      <c r="D11" s="20">
        <v>24.45</v>
      </c>
      <c r="E11" s="20">
        <v>24.45</v>
      </c>
      <c r="F11" s="20">
        <v>24.45</v>
      </c>
      <c r="G11" s="17"/>
    </row>
    <row r="12" ht="13.65" customHeight="1">
      <c r="A12" s="18">
        <v>1</v>
      </c>
      <c r="B12" t="s" s="19">
        <v>16</v>
      </c>
      <c r="C12" t="s" s="19">
        <v>17</v>
      </c>
      <c r="D12" s="20">
        <v>9.18</v>
      </c>
      <c r="E12" s="20">
        <v>9.69</v>
      </c>
      <c r="F12" s="20">
        <v>10.2</v>
      </c>
      <c r="G12" s="17"/>
    </row>
    <row r="13" ht="13.65" customHeight="1">
      <c r="A13" s="18">
        <v>1</v>
      </c>
      <c r="B13" t="s" s="19">
        <v>18</v>
      </c>
      <c r="C13" t="s" s="19">
        <v>19</v>
      </c>
      <c r="D13" s="20">
        <v>10.53</v>
      </c>
      <c r="E13" s="20">
        <v>11.12</v>
      </c>
      <c r="F13" s="20">
        <v>11.7</v>
      </c>
      <c r="G13" s="17"/>
    </row>
    <row r="14" ht="13.65" customHeight="1">
      <c r="A14" s="18">
        <v>1</v>
      </c>
      <c r="B14" t="s" s="19">
        <v>20</v>
      </c>
      <c r="C14" t="s" s="19">
        <v>21</v>
      </c>
      <c r="D14" s="20">
        <v>14.4</v>
      </c>
      <c r="E14" s="20">
        <v>15.2</v>
      </c>
      <c r="F14" s="20">
        <v>16</v>
      </c>
      <c r="G14" s="17"/>
    </row>
    <row r="15" ht="13.65" customHeight="1">
      <c r="A15" s="18">
        <v>1</v>
      </c>
      <c r="B15" t="s" s="19">
        <v>22</v>
      </c>
      <c r="C15" t="s" s="19">
        <v>23</v>
      </c>
      <c r="D15" s="20">
        <v>18.23</v>
      </c>
      <c r="E15" s="20">
        <v>19.24</v>
      </c>
      <c r="F15" s="20">
        <v>20.25</v>
      </c>
      <c r="G15" s="17"/>
    </row>
    <row r="16" ht="13.65" customHeight="1">
      <c r="A16" s="18">
        <v>1</v>
      </c>
      <c r="B16" t="s" s="19">
        <v>24</v>
      </c>
      <c r="C16" t="s" s="19">
        <v>25</v>
      </c>
      <c r="D16" s="20">
        <v>22.01</v>
      </c>
      <c r="E16" s="20">
        <v>23.23</v>
      </c>
      <c r="F16" s="20">
        <v>24.45</v>
      </c>
      <c r="G16" s="17"/>
    </row>
    <row r="17" ht="13.65" customHeight="1">
      <c r="A17" s="18">
        <v>2</v>
      </c>
      <c r="B17" t="s" s="19">
        <v>16</v>
      </c>
      <c r="C17" t="s" s="19">
        <v>17</v>
      </c>
      <c r="D17" s="20">
        <v>7.65</v>
      </c>
      <c r="E17" s="20">
        <v>8.98</v>
      </c>
      <c r="F17" s="20">
        <v>10</v>
      </c>
      <c r="G17" s="17"/>
    </row>
    <row r="18" ht="13.65" customHeight="1">
      <c r="A18" s="18">
        <v>2</v>
      </c>
      <c r="B18" t="s" s="19">
        <v>18</v>
      </c>
      <c r="C18" t="s" s="19">
        <v>19</v>
      </c>
      <c r="D18" s="20">
        <v>8.779999999999999</v>
      </c>
      <c r="E18" s="20">
        <v>10.3</v>
      </c>
      <c r="F18" s="20">
        <v>11.47</v>
      </c>
      <c r="G18" s="17"/>
    </row>
    <row r="19" ht="13.65" customHeight="1">
      <c r="A19" s="18">
        <v>2</v>
      </c>
      <c r="B19" t="s" s="19">
        <v>20</v>
      </c>
      <c r="C19" t="s" s="19">
        <v>21</v>
      </c>
      <c r="D19" s="20">
        <v>12</v>
      </c>
      <c r="E19" s="20">
        <v>14.08</v>
      </c>
      <c r="F19" s="20">
        <v>15.68</v>
      </c>
      <c r="G19" s="17"/>
    </row>
    <row r="20" ht="13.65" customHeight="1">
      <c r="A20" s="18">
        <v>2</v>
      </c>
      <c r="B20" t="s" s="19">
        <v>22</v>
      </c>
      <c r="C20" t="s" s="19">
        <v>23</v>
      </c>
      <c r="D20" s="20">
        <v>15.19</v>
      </c>
      <c r="E20" s="20">
        <v>17.82</v>
      </c>
      <c r="F20" s="20">
        <v>19.85</v>
      </c>
      <c r="G20" s="17"/>
    </row>
    <row r="21" ht="13.65" customHeight="1">
      <c r="A21" s="18">
        <v>2</v>
      </c>
      <c r="B21" t="s" s="19">
        <v>24</v>
      </c>
      <c r="C21" t="s" s="19">
        <v>25</v>
      </c>
      <c r="D21" s="20">
        <v>18.34</v>
      </c>
      <c r="E21" s="20">
        <v>21.52</v>
      </c>
      <c r="F21" s="20">
        <v>23.96</v>
      </c>
      <c r="G21" s="17"/>
    </row>
    <row r="22" ht="13.65" customHeight="1">
      <c r="A22" s="18">
        <v>3</v>
      </c>
      <c r="B22" t="s" s="19">
        <v>16</v>
      </c>
      <c r="C22" t="s" s="19">
        <v>17</v>
      </c>
      <c r="D22" s="20">
        <v>7.14</v>
      </c>
      <c r="E22" s="20">
        <v>8.57</v>
      </c>
      <c r="F22" s="20">
        <v>9.890000000000001</v>
      </c>
      <c r="G22" s="17"/>
    </row>
    <row r="23" ht="13.65" customHeight="1">
      <c r="A23" s="18">
        <v>3</v>
      </c>
      <c r="B23" t="s" s="19">
        <v>18</v>
      </c>
      <c r="C23" t="s" s="19">
        <v>19</v>
      </c>
      <c r="D23" s="20">
        <v>8.19</v>
      </c>
      <c r="E23" s="20">
        <v>9.83</v>
      </c>
      <c r="F23" s="20">
        <v>11.35</v>
      </c>
      <c r="G23" s="17"/>
    </row>
    <row r="24" ht="13.65" customHeight="1">
      <c r="A24" s="18">
        <v>3</v>
      </c>
      <c r="B24" t="s" s="19">
        <v>20</v>
      </c>
      <c r="C24" t="s" s="19">
        <v>21</v>
      </c>
      <c r="D24" s="20">
        <v>11.2</v>
      </c>
      <c r="E24" s="20">
        <v>13.44</v>
      </c>
      <c r="F24" s="20">
        <v>15.52</v>
      </c>
      <c r="G24" s="17"/>
    </row>
    <row r="25" ht="13.65" customHeight="1">
      <c r="A25" s="18">
        <v>3</v>
      </c>
      <c r="B25" t="s" s="19">
        <v>22</v>
      </c>
      <c r="C25" t="s" s="19">
        <v>23</v>
      </c>
      <c r="D25" s="20">
        <v>14.18</v>
      </c>
      <c r="E25" s="20">
        <v>17.01</v>
      </c>
      <c r="F25" s="20">
        <v>19.64</v>
      </c>
      <c r="G25" s="17"/>
    </row>
    <row r="26" ht="13.65" customHeight="1">
      <c r="A26" s="18">
        <v>3</v>
      </c>
      <c r="B26" t="s" s="19">
        <v>24</v>
      </c>
      <c r="C26" t="s" s="19">
        <v>25</v>
      </c>
      <c r="D26" s="20">
        <v>17.12</v>
      </c>
      <c r="E26" s="20">
        <v>20.54</v>
      </c>
      <c r="F26" s="20">
        <v>23.72</v>
      </c>
      <c r="G26" s="17"/>
    </row>
    <row r="27" ht="13.65" customHeight="1">
      <c r="A27" s="18">
        <v>4</v>
      </c>
      <c r="B27" t="s" s="19">
        <v>16</v>
      </c>
      <c r="C27" t="s" s="19">
        <v>17</v>
      </c>
      <c r="D27" s="20">
        <v>6.63</v>
      </c>
      <c r="E27" s="20">
        <v>8.26</v>
      </c>
      <c r="F27" s="20">
        <v>9.69</v>
      </c>
      <c r="G27" s="17"/>
    </row>
    <row r="28" ht="13.65" customHeight="1">
      <c r="A28" s="18">
        <v>4</v>
      </c>
      <c r="B28" t="s" s="19">
        <v>18</v>
      </c>
      <c r="C28" t="s" s="19">
        <v>19</v>
      </c>
      <c r="D28" s="20">
        <v>7.61</v>
      </c>
      <c r="E28" s="20">
        <v>9.48</v>
      </c>
      <c r="F28" s="20">
        <v>11.12</v>
      </c>
      <c r="G28" s="17"/>
    </row>
    <row r="29" ht="13.65" customHeight="1">
      <c r="A29" s="18">
        <v>4</v>
      </c>
      <c r="B29" t="s" s="19">
        <v>20</v>
      </c>
      <c r="C29" t="s" s="19">
        <v>21</v>
      </c>
      <c r="D29" s="20">
        <v>10.4</v>
      </c>
      <c r="E29" s="20">
        <v>12.96</v>
      </c>
      <c r="F29" s="20">
        <v>15.2</v>
      </c>
      <c r="G29" s="17"/>
    </row>
    <row r="30" ht="13.65" customHeight="1">
      <c r="A30" s="18">
        <v>4</v>
      </c>
      <c r="B30" t="s" s="19">
        <v>22</v>
      </c>
      <c r="C30" t="s" s="19">
        <v>23</v>
      </c>
      <c r="D30" s="20">
        <v>13.16</v>
      </c>
      <c r="E30" s="20">
        <v>16.4</v>
      </c>
      <c r="F30" s="20">
        <v>19.24</v>
      </c>
      <c r="G30" s="17"/>
    </row>
    <row r="31" ht="13.65" customHeight="1">
      <c r="A31" s="18">
        <v>4</v>
      </c>
      <c r="B31" t="s" s="19">
        <v>24</v>
      </c>
      <c r="C31" t="s" s="19">
        <v>25</v>
      </c>
      <c r="D31" s="20">
        <v>15.89</v>
      </c>
      <c r="E31" s="20">
        <v>19.8</v>
      </c>
      <c r="F31" s="20">
        <v>23.23</v>
      </c>
      <c r="G31" s="17"/>
    </row>
    <row r="32" ht="13.65" customHeight="1">
      <c r="A32" s="18">
        <v>5</v>
      </c>
      <c r="B32" t="s" s="19">
        <v>16</v>
      </c>
      <c r="C32" t="s" s="19">
        <v>17</v>
      </c>
      <c r="D32" s="20">
        <v>6.12</v>
      </c>
      <c r="E32" s="20">
        <v>8.16</v>
      </c>
      <c r="F32" s="20">
        <v>9.69</v>
      </c>
      <c r="G32" s="17"/>
    </row>
    <row r="33" ht="13.65" customHeight="1">
      <c r="A33" s="18">
        <v>5</v>
      </c>
      <c r="B33" t="s" s="19">
        <v>18</v>
      </c>
      <c r="C33" t="s" s="19">
        <v>19</v>
      </c>
      <c r="D33" s="20">
        <v>7.02</v>
      </c>
      <c r="E33" s="20">
        <v>9.359999999999999</v>
      </c>
      <c r="F33" s="20">
        <v>11.12</v>
      </c>
      <c r="G33" s="17"/>
    </row>
    <row r="34" ht="13.65" customHeight="1">
      <c r="A34" s="18">
        <v>5</v>
      </c>
      <c r="B34" t="s" s="19">
        <v>20</v>
      </c>
      <c r="C34" t="s" s="19">
        <v>21</v>
      </c>
      <c r="D34" s="20">
        <v>9.6</v>
      </c>
      <c r="E34" s="20">
        <v>12.8</v>
      </c>
      <c r="F34" s="20">
        <v>15.2</v>
      </c>
      <c r="G34" s="17"/>
    </row>
    <row r="35" ht="13.65" customHeight="1">
      <c r="A35" s="18">
        <v>5</v>
      </c>
      <c r="B35" t="s" s="19">
        <v>22</v>
      </c>
      <c r="C35" t="s" s="19">
        <v>23</v>
      </c>
      <c r="D35" s="20">
        <v>12.15</v>
      </c>
      <c r="E35" s="20">
        <v>16.2</v>
      </c>
      <c r="F35" s="20">
        <v>19.24</v>
      </c>
      <c r="G35" s="17"/>
    </row>
    <row r="36" ht="13.65" customHeight="1">
      <c r="A36" s="18">
        <v>5</v>
      </c>
      <c r="B36" t="s" s="19">
        <v>24</v>
      </c>
      <c r="C36" t="s" s="19">
        <v>25</v>
      </c>
      <c r="D36" s="20">
        <v>14.67</v>
      </c>
      <c r="E36" s="20">
        <v>19.56</v>
      </c>
      <c r="F36" s="20">
        <v>23.23</v>
      </c>
      <c r="G36" s="17"/>
    </row>
    <row r="37" ht="13.55" customHeight="1">
      <c r="A37" s="21"/>
      <c r="B37" s="22"/>
      <c r="C37" s="22"/>
      <c r="D37" s="22"/>
      <c r="E37" s="22"/>
      <c r="F37" s="22"/>
      <c r="G37" s="12"/>
    </row>
    <row r="38" ht="13.55" customHeight="1">
      <c r="A38" s="13"/>
      <c r="B38" s="11"/>
      <c r="C38" s="11"/>
      <c r="D38" s="11"/>
      <c r="E38" s="11"/>
      <c r="F38" s="11"/>
      <c r="G38" s="12"/>
    </row>
    <row r="39" ht="14.6" customHeight="1">
      <c r="A39" t="s" s="14">
        <v>26</v>
      </c>
      <c r="B39" s="15"/>
      <c r="C39" s="15"/>
      <c r="D39" s="15"/>
      <c r="E39" s="15"/>
      <c r="F39" s="15"/>
      <c r="G39" s="12"/>
    </row>
    <row r="40" ht="13.65" customHeight="1">
      <c r="A40" t="s" s="16">
        <v>10</v>
      </c>
      <c r="B40" t="s" s="16">
        <v>12</v>
      </c>
      <c r="C40" t="s" s="16">
        <v>27</v>
      </c>
      <c r="D40" t="s" s="16">
        <v>28</v>
      </c>
      <c r="E40" t="s" s="16">
        <v>29</v>
      </c>
      <c r="F40" t="s" s="16">
        <v>30</v>
      </c>
      <c r="G40" s="17"/>
    </row>
    <row r="41" ht="13.65" customHeight="1">
      <c r="A41" s="18">
        <v>0</v>
      </c>
      <c r="B41" t="s" s="19">
        <v>31</v>
      </c>
      <c r="C41" s="20">
        <v>17.9</v>
      </c>
      <c r="D41" s="20">
        <v>20.6</v>
      </c>
      <c r="E41" s="20">
        <v>23.05</v>
      </c>
      <c r="F41" s="20">
        <v>28.4</v>
      </c>
      <c r="G41" s="17"/>
    </row>
    <row r="42" ht="13.65" customHeight="1">
      <c r="A42" s="18">
        <v>0</v>
      </c>
      <c r="B42" t="s" s="19">
        <v>32</v>
      </c>
      <c r="C42" s="20">
        <v>21.6</v>
      </c>
      <c r="D42" s="20">
        <v>26.85</v>
      </c>
      <c r="E42" s="20">
        <v>29.95</v>
      </c>
      <c r="F42" s="20">
        <v>35.55</v>
      </c>
      <c r="G42" s="17"/>
    </row>
    <row r="43" ht="13.65" customHeight="1">
      <c r="A43" s="18">
        <v>0</v>
      </c>
      <c r="B43" t="s" s="19">
        <v>33</v>
      </c>
      <c r="C43" s="20">
        <v>29</v>
      </c>
      <c r="D43" s="20">
        <v>39.4</v>
      </c>
      <c r="E43" s="20">
        <v>43.6</v>
      </c>
      <c r="F43" s="20">
        <v>49.9</v>
      </c>
      <c r="G43" s="17"/>
    </row>
    <row r="44" ht="13.65" customHeight="1">
      <c r="A44" s="18">
        <v>0</v>
      </c>
      <c r="B44" t="s" s="19">
        <v>34</v>
      </c>
      <c r="C44" s="20">
        <v>36.4</v>
      </c>
      <c r="D44" s="20">
        <v>51.95</v>
      </c>
      <c r="E44" s="20">
        <v>57.4</v>
      </c>
      <c r="F44" s="20">
        <v>64.2</v>
      </c>
      <c r="G44" s="17"/>
    </row>
    <row r="45" ht="13.65" customHeight="1">
      <c r="A45" s="18">
        <v>0</v>
      </c>
      <c r="B45" t="s" s="19">
        <v>35</v>
      </c>
      <c r="C45" s="20">
        <v>43.8</v>
      </c>
      <c r="D45" s="20">
        <v>64.5</v>
      </c>
      <c r="E45" s="20">
        <v>71.09999999999999</v>
      </c>
      <c r="F45" s="20">
        <v>78.5</v>
      </c>
      <c r="G45" s="17"/>
    </row>
    <row r="46" ht="13.65" customHeight="1">
      <c r="A46" s="18">
        <v>1</v>
      </c>
      <c r="B46" t="s" s="19">
        <v>31</v>
      </c>
      <c r="C46" s="20">
        <v>17.01</v>
      </c>
      <c r="D46" s="20">
        <v>19.57</v>
      </c>
      <c r="E46" s="20">
        <v>21.9</v>
      </c>
      <c r="F46" s="20">
        <v>26.98</v>
      </c>
      <c r="G46" s="17"/>
    </row>
    <row r="47" ht="13.65" customHeight="1">
      <c r="A47" s="18">
        <v>1</v>
      </c>
      <c r="B47" t="s" s="19">
        <v>32</v>
      </c>
      <c r="C47" s="20">
        <v>20.52</v>
      </c>
      <c r="D47" s="20">
        <v>25.51</v>
      </c>
      <c r="E47" s="20">
        <v>28.45</v>
      </c>
      <c r="F47" s="20">
        <v>33.77</v>
      </c>
      <c r="G47" s="17"/>
    </row>
    <row r="48" ht="13.65" customHeight="1">
      <c r="A48" s="18">
        <v>1</v>
      </c>
      <c r="B48" t="s" s="19">
        <v>33</v>
      </c>
      <c r="C48" s="20">
        <v>27.55</v>
      </c>
      <c r="D48" s="20">
        <v>37.43</v>
      </c>
      <c r="E48" s="20">
        <v>41.42</v>
      </c>
      <c r="F48" s="20">
        <v>47.41</v>
      </c>
      <c r="G48" s="17"/>
    </row>
    <row r="49" ht="13.65" customHeight="1">
      <c r="A49" s="18">
        <v>1</v>
      </c>
      <c r="B49" t="s" s="19">
        <v>34</v>
      </c>
      <c r="C49" s="20">
        <v>34.58</v>
      </c>
      <c r="D49" s="20">
        <v>49.35</v>
      </c>
      <c r="E49" s="20">
        <v>54.53</v>
      </c>
      <c r="F49" s="20">
        <v>60.99</v>
      </c>
      <c r="G49" s="17"/>
    </row>
    <row r="50" ht="13.65" customHeight="1">
      <c r="A50" s="18">
        <v>1</v>
      </c>
      <c r="B50" t="s" s="19">
        <v>35</v>
      </c>
      <c r="C50" s="20">
        <v>41.61</v>
      </c>
      <c r="D50" s="20">
        <v>61.28</v>
      </c>
      <c r="E50" s="20">
        <v>67.55</v>
      </c>
      <c r="F50" s="20">
        <v>74.58</v>
      </c>
      <c r="G50" s="17"/>
    </row>
    <row r="51" ht="13.65" customHeight="1">
      <c r="A51" s="18">
        <v>2</v>
      </c>
      <c r="B51" t="s" s="19">
        <v>31</v>
      </c>
      <c r="C51" s="20">
        <v>14.32</v>
      </c>
      <c r="D51" s="20">
        <v>17.51</v>
      </c>
      <c r="E51" s="20">
        <v>19.59</v>
      </c>
      <c r="F51" s="20">
        <v>24.14</v>
      </c>
      <c r="G51" s="17"/>
    </row>
    <row r="52" ht="13.65" customHeight="1">
      <c r="A52" s="18">
        <v>2</v>
      </c>
      <c r="B52" t="s" s="19">
        <v>32</v>
      </c>
      <c r="C52" s="20">
        <v>17.28</v>
      </c>
      <c r="D52" s="20">
        <v>22.82</v>
      </c>
      <c r="E52" s="20">
        <v>25.46</v>
      </c>
      <c r="F52" s="20">
        <v>30.22</v>
      </c>
      <c r="G52" s="17"/>
    </row>
    <row r="53" ht="13.65" customHeight="1">
      <c r="A53" s="18">
        <v>2</v>
      </c>
      <c r="B53" t="s" s="19">
        <v>33</v>
      </c>
      <c r="C53" s="20">
        <v>23.2</v>
      </c>
      <c r="D53" s="20">
        <v>33.49</v>
      </c>
      <c r="E53" s="20">
        <v>37.06</v>
      </c>
      <c r="F53" s="20">
        <v>42.42</v>
      </c>
      <c r="G53" s="17"/>
    </row>
    <row r="54" ht="13.65" customHeight="1">
      <c r="A54" s="18">
        <v>2</v>
      </c>
      <c r="B54" t="s" s="19">
        <v>34</v>
      </c>
      <c r="C54" s="20">
        <v>29.12</v>
      </c>
      <c r="D54" s="20">
        <v>44.16</v>
      </c>
      <c r="E54" s="20">
        <v>48.79</v>
      </c>
      <c r="F54" s="20">
        <v>54.57</v>
      </c>
      <c r="G54" s="17"/>
    </row>
    <row r="55" ht="13.65" customHeight="1">
      <c r="A55" s="18">
        <v>2</v>
      </c>
      <c r="B55" t="s" s="19">
        <v>35</v>
      </c>
      <c r="C55" s="20">
        <v>35.04</v>
      </c>
      <c r="D55" s="20">
        <v>54.83</v>
      </c>
      <c r="E55" s="20">
        <v>60.44</v>
      </c>
      <c r="F55" s="20">
        <v>66.73</v>
      </c>
      <c r="G55" s="17"/>
    </row>
    <row r="56" ht="13.65" customHeight="1">
      <c r="A56" s="18">
        <v>3</v>
      </c>
      <c r="B56" t="s" s="19">
        <v>31</v>
      </c>
      <c r="C56" s="20">
        <v>13.43</v>
      </c>
      <c r="D56" s="20">
        <v>17</v>
      </c>
      <c r="E56" s="20">
        <v>19.02</v>
      </c>
      <c r="F56" s="20">
        <v>23.43</v>
      </c>
      <c r="G56" s="17"/>
    </row>
    <row r="57" ht="13.65" customHeight="1">
      <c r="A57" s="18">
        <v>3</v>
      </c>
      <c r="B57" t="s" s="19">
        <v>32</v>
      </c>
      <c r="C57" s="20">
        <v>16.2</v>
      </c>
      <c r="D57" s="20">
        <v>22.15</v>
      </c>
      <c r="E57" s="20">
        <v>24.71</v>
      </c>
      <c r="F57" s="20">
        <v>29.33</v>
      </c>
      <c r="G57" s="17"/>
    </row>
    <row r="58" ht="13.65" customHeight="1">
      <c r="A58" s="18">
        <v>3</v>
      </c>
      <c r="B58" t="s" s="19">
        <v>33</v>
      </c>
      <c r="C58" s="20">
        <v>21.75</v>
      </c>
      <c r="D58" s="20">
        <v>32.51</v>
      </c>
      <c r="E58" s="20">
        <v>35.97</v>
      </c>
      <c r="F58" s="20">
        <v>41.17</v>
      </c>
      <c r="G58" s="17"/>
    </row>
    <row r="59" ht="13.65" customHeight="1">
      <c r="A59" s="18">
        <v>3</v>
      </c>
      <c r="B59" t="s" s="19">
        <v>34</v>
      </c>
      <c r="C59" s="20">
        <v>27.3</v>
      </c>
      <c r="D59" s="20">
        <v>42.86</v>
      </c>
      <c r="E59" s="20">
        <v>47.36</v>
      </c>
      <c r="F59" s="20">
        <v>52.97</v>
      </c>
      <c r="G59" s="17"/>
    </row>
    <row r="60" ht="13.65" customHeight="1">
      <c r="A60" s="18">
        <v>3</v>
      </c>
      <c r="B60" t="s" s="19">
        <v>35</v>
      </c>
      <c r="C60" s="20">
        <v>32.85</v>
      </c>
      <c r="D60" s="20">
        <v>53.21</v>
      </c>
      <c r="E60" s="20">
        <v>58.66</v>
      </c>
      <c r="F60" s="20">
        <v>64.76000000000001</v>
      </c>
      <c r="G60" s="17"/>
    </row>
    <row r="61" ht="13.65" customHeight="1">
      <c r="A61" s="18">
        <v>4</v>
      </c>
      <c r="B61" t="s" s="19">
        <v>31</v>
      </c>
      <c r="C61" s="20">
        <v>12.53</v>
      </c>
      <c r="D61" s="20">
        <v>16.48</v>
      </c>
      <c r="E61" s="20">
        <v>18.44</v>
      </c>
      <c r="F61" s="20">
        <v>22.72</v>
      </c>
      <c r="G61" s="17"/>
    </row>
    <row r="62" ht="13.65" customHeight="1">
      <c r="A62" s="18">
        <v>4</v>
      </c>
      <c r="B62" t="s" s="19">
        <v>32</v>
      </c>
      <c r="C62" s="20">
        <v>15.12</v>
      </c>
      <c r="D62" s="20">
        <v>21.48</v>
      </c>
      <c r="E62" s="20">
        <v>23.96</v>
      </c>
      <c r="F62" s="20">
        <v>28.44</v>
      </c>
      <c r="G62" s="17"/>
    </row>
    <row r="63" ht="13.65" customHeight="1">
      <c r="A63" s="18">
        <v>4</v>
      </c>
      <c r="B63" t="s" s="19">
        <v>33</v>
      </c>
      <c r="C63" s="20">
        <v>20.3</v>
      </c>
      <c r="D63" s="20">
        <v>31.52</v>
      </c>
      <c r="E63" s="20">
        <v>34.88</v>
      </c>
      <c r="F63" s="20">
        <v>39.92</v>
      </c>
      <c r="G63" s="17"/>
    </row>
    <row r="64" ht="13.65" customHeight="1">
      <c r="A64" s="18">
        <v>4</v>
      </c>
      <c r="B64" t="s" s="19">
        <v>34</v>
      </c>
      <c r="C64" s="20">
        <v>25.48</v>
      </c>
      <c r="D64" s="20">
        <v>41.56</v>
      </c>
      <c r="E64" s="20">
        <v>45.92</v>
      </c>
      <c r="F64" s="20">
        <v>51.36</v>
      </c>
      <c r="G64" s="17"/>
    </row>
    <row r="65" ht="13.65" customHeight="1">
      <c r="A65" s="18">
        <v>4</v>
      </c>
      <c r="B65" t="s" s="19">
        <v>35</v>
      </c>
      <c r="C65" s="20">
        <v>30.66</v>
      </c>
      <c r="D65" s="20">
        <v>51.6</v>
      </c>
      <c r="E65" s="20">
        <v>56.88</v>
      </c>
      <c r="F65" s="20">
        <v>62.8</v>
      </c>
      <c r="G65" s="17"/>
    </row>
    <row r="66" ht="13.65" customHeight="1">
      <c r="A66" s="18">
        <v>5</v>
      </c>
      <c r="B66" t="s" s="19">
        <v>31</v>
      </c>
      <c r="C66" s="20">
        <v>11.64</v>
      </c>
      <c r="D66" s="20">
        <v>15.97</v>
      </c>
      <c r="E66" s="20">
        <v>17.86</v>
      </c>
      <c r="F66" s="20">
        <v>22.01</v>
      </c>
      <c r="G66" s="17"/>
    </row>
    <row r="67" ht="13.65" customHeight="1">
      <c r="A67" s="18">
        <v>5</v>
      </c>
      <c r="B67" t="s" s="19">
        <v>32</v>
      </c>
      <c r="C67" s="20">
        <v>14.04</v>
      </c>
      <c r="D67" s="20">
        <v>20.81</v>
      </c>
      <c r="E67" s="20">
        <v>23.21</v>
      </c>
      <c r="F67" s="20">
        <v>27.55</v>
      </c>
      <c r="G67" s="17"/>
    </row>
    <row r="68" ht="13.65" customHeight="1">
      <c r="A68" s="18">
        <v>5</v>
      </c>
      <c r="B68" t="s" s="19">
        <v>33</v>
      </c>
      <c r="C68" s="20">
        <v>18.85</v>
      </c>
      <c r="D68" s="20">
        <v>30.54</v>
      </c>
      <c r="E68" s="20">
        <v>33.79</v>
      </c>
      <c r="F68" s="20">
        <v>38.67</v>
      </c>
      <c r="G68" s="17"/>
    </row>
    <row r="69" ht="13.65" customHeight="1">
      <c r="A69" s="18">
        <v>5</v>
      </c>
      <c r="B69" t="s" s="19">
        <v>34</v>
      </c>
      <c r="C69" s="20">
        <v>23.66</v>
      </c>
      <c r="D69" s="20">
        <v>40.26</v>
      </c>
      <c r="E69" s="20">
        <v>44.49</v>
      </c>
      <c r="F69" s="20">
        <v>49.76</v>
      </c>
      <c r="G69" s="17"/>
    </row>
    <row r="70" ht="13.65" customHeight="1">
      <c r="A70" s="18">
        <v>5</v>
      </c>
      <c r="B70" t="s" s="19">
        <v>35</v>
      </c>
      <c r="C70" s="20">
        <v>28.47</v>
      </c>
      <c r="D70" s="20">
        <v>49.99</v>
      </c>
      <c r="E70" s="20">
        <v>55.1</v>
      </c>
      <c r="F70" s="20">
        <v>60.84</v>
      </c>
      <c r="G70" s="17"/>
    </row>
    <row r="71" ht="13.55" customHeight="1">
      <c r="A71" s="21"/>
      <c r="B71" s="22"/>
      <c r="C71" s="22"/>
      <c r="D71" s="22"/>
      <c r="E71" s="22"/>
      <c r="F71" s="22"/>
      <c r="G71" s="12"/>
    </row>
    <row r="72" ht="13.55" customHeight="1">
      <c r="A72" s="13"/>
      <c r="B72" s="11"/>
      <c r="C72" s="11"/>
      <c r="D72" s="11"/>
      <c r="E72" s="11"/>
      <c r="F72" s="11"/>
      <c r="G72" s="12"/>
    </row>
    <row r="73" ht="14.6" customHeight="1">
      <c r="A73" t="s" s="14">
        <v>36</v>
      </c>
      <c r="B73" s="15"/>
      <c r="C73" s="15"/>
      <c r="D73" s="15"/>
      <c r="E73" s="15"/>
      <c r="F73" s="15"/>
      <c r="G73" s="23"/>
    </row>
    <row r="74" ht="13.65" customHeight="1">
      <c r="A74" t="s" s="16">
        <v>10</v>
      </c>
      <c r="B74" t="s" s="16">
        <v>12</v>
      </c>
      <c r="C74" t="s" s="16">
        <v>37</v>
      </c>
      <c r="D74" t="s" s="16">
        <v>38</v>
      </c>
      <c r="E74" t="s" s="16">
        <v>39</v>
      </c>
      <c r="F74" t="s" s="16">
        <v>40</v>
      </c>
      <c r="G74" t="s" s="16">
        <v>41</v>
      </c>
    </row>
    <row r="75" ht="13.65" customHeight="1">
      <c r="A75" s="18">
        <v>0</v>
      </c>
      <c r="B75" t="s" s="19">
        <v>31</v>
      </c>
      <c r="C75" s="20">
        <v>20.6</v>
      </c>
      <c r="D75" s="20">
        <v>20.6</v>
      </c>
      <c r="E75" s="20">
        <v>28.4</v>
      </c>
      <c r="F75" s="20">
        <v>28.4</v>
      </c>
      <c r="G75" s="20">
        <v>34.45</v>
      </c>
    </row>
    <row r="76" ht="13.65" customHeight="1">
      <c r="A76" s="18">
        <v>0</v>
      </c>
      <c r="B76" t="s" s="19">
        <v>32</v>
      </c>
      <c r="C76" s="20">
        <v>26.85</v>
      </c>
      <c r="D76" s="20">
        <v>26.85</v>
      </c>
      <c r="E76" s="20">
        <v>35.55</v>
      </c>
      <c r="F76" s="20">
        <v>35.55</v>
      </c>
      <c r="G76" s="20">
        <v>43.8</v>
      </c>
    </row>
    <row r="77" ht="13.65" customHeight="1">
      <c r="A77" s="18">
        <v>0</v>
      </c>
      <c r="B77" t="s" s="19">
        <v>33</v>
      </c>
      <c r="C77" s="20">
        <v>39.4</v>
      </c>
      <c r="D77" s="20">
        <v>39.4</v>
      </c>
      <c r="E77" s="20">
        <v>49.9</v>
      </c>
      <c r="F77" s="20">
        <v>49.9</v>
      </c>
      <c r="G77" s="20">
        <v>62.5</v>
      </c>
    </row>
    <row r="78" ht="13.65" customHeight="1">
      <c r="A78" s="18">
        <v>0</v>
      </c>
      <c r="B78" t="s" s="19">
        <v>34</v>
      </c>
      <c r="C78" s="20">
        <v>51.95</v>
      </c>
      <c r="D78" s="20">
        <v>51.95</v>
      </c>
      <c r="E78" s="20">
        <v>64.2</v>
      </c>
      <c r="F78" s="20">
        <v>64.2</v>
      </c>
      <c r="G78" s="20">
        <v>81.15000000000001</v>
      </c>
    </row>
    <row r="79" ht="13.65" customHeight="1">
      <c r="A79" s="18">
        <v>0</v>
      </c>
      <c r="B79" t="s" s="19">
        <v>35</v>
      </c>
      <c r="C79" s="20">
        <v>64.5</v>
      </c>
      <c r="D79" s="20">
        <v>64.5</v>
      </c>
      <c r="E79" s="20">
        <v>78.5</v>
      </c>
      <c r="F79" s="20">
        <v>78.5</v>
      </c>
      <c r="G79" s="20">
        <v>99.8</v>
      </c>
    </row>
    <row r="80" ht="13.65" customHeight="1">
      <c r="A80" s="18">
        <v>1</v>
      </c>
      <c r="B80" t="s" s="19">
        <v>31</v>
      </c>
      <c r="C80" s="20">
        <v>19.57</v>
      </c>
      <c r="D80" s="20">
        <v>19.57</v>
      </c>
      <c r="E80" s="20">
        <v>26.98</v>
      </c>
      <c r="F80" s="20">
        <v>26.98</v>
      </c>
      <c r="G80" s="20">
        <v>32.73</v>
      </c>
    </row>
    <row r="81" ht="13.65" customHeight="1">
      <c r="A81" s="18">
        <v>1</v>
      </c>
      <c r="B81" t="s" s="19">
        <v>32</v>
      </c>
      <c r="C81" s="20">
        <v>25.51</v>
      </c>
      <c r="D81" s="20">
        <v>25.51</v>
      </c>
      <c r="E81" s="20">
        <v>33.77</v>
      </c>
      <c r="F81" s="20">
        <v>33.77</v>
      </c>
      <c r="G81" s="20">
        <v>41.61</v>
      </c>
    </row>
    <row r="82" ht="13.65" customHeight="1">
      <c r="A82" s="18">
        <v>1</v>
      </c>
      <c r="B82" t="s" s="19">
        <v>33</v>
      </c>
      <c r="C82" s="20">
        <v>37.43</v>
      </c>
      <c r="D82" s="20">
        <v>37.43</v>
      </c>
      <c r="E82" s="20">
        <v>47.41</v>
      </c>
      <c r="F82" s="20">
        <v>47.41</v>
      </c>
      <c r="G82" s="20">
        <v>59.38</v>
      </c>
    </row>
    <row r="83" ht="13.65" customHeight="1">
      <c r="A83" s="18">
        <v>1</v>
      </c>
      <c r="B83" t="s" s="19">
        <v>34</v>
      </c>
      <c r="C83" s="20">
        <v>49.35</v>
      </c>
      <c r="D83" s="20">
        <v>49.35</v>
      </c>
      <c r="E83" s="20">
        <v>60.99</v>
      </c>
      <c r="F83" s="20">
        <v>60.99</v>
      </c>
      <c r="G83" s="20">
        <v>77.09</v>
      </c>
    </row>
    <row r="84" ht="13.65" customHeight="1">
      <c r="A84" s="18">
        <v>1</v>
      </c>
      <c r="B84" t="s" s="19">
        <v>35</v>
      </c>
      <c r="C84" s="20">
        <v>61.28</v>
      </c>
      <c r="D84" s="20">
        <v>61.28</v>
      </c>
      <c r="E84" s="20">
        <v>74.58</v>
      </c>
      <c r="F84" s="20">
        <v>74.58</v>
      </c>
      <c r="G84" s="20">
        <v>94.81</v>
      </c>
    </row>
    <row r="85" ht="13.65" customHeight="1">
      <c r="A85" s="18">
        <v>2</v>
      </c>
      <c r="B85" t="s" s="19">
        <v>31</v>
      </c>
      <c r="C85" s="20">
        <v>18.54</v>
      </c>
      <c r="D85" s="20">
        <v>19.06</v>
      </c>
      <c r="E85" s="20">
        <v>25.56</v>
      </c>
      <c r="F85" s="20">
        <v>26.27</v>
      </c>
      <c r="G85" s="20">
        <v>31.87</v>
      </c>
    </row>
    <row r="86" ht="13.65" customHeight="1">
      <c r="A86" s="18">
        <v>2</v>
      </c>
      <c r="B86" t="s" s="19">
        <v>32</v>
      </c>
      <c r="C86" s="20">
        <v>24.17</v>
      </c>
      <c r="D86" s="20">
        <v>24.84</v>
      </c>
      <c r="E86" s="20">
        <v>32</v>
      </c>
      <c r="F86" s="20">
        <v>32.88</v>
      </c>
      <c r="G86" s="20">
        <v>40.52</v>
      </c>
    </row>
    <row r="87" ht="13.65" customHeight="1">
      <c r="A87" s="18">
        <v>2</v>
      </c>
      <c r="B87" t="s" s="19">
        <v>33</v>
      </c>
      <c r="C87" s="20">
        <v>35.46</v>
      </c>
      <c r="D87" s="20">
        <v>36.45</v>
      </c>
      <c r="E87" s="20">
        <v>44.91</v>
      </c>
      <c r="F87" s="20">
        <v>46.16</v>
      </c>
      <c r="G87" s="20">
        <v>57.81</v>
      </c>
    </row>
    <row r="88" ht="13.65" customHeight="1">
      <c r="A88" s="18">
        <v>2</v>
      </c>
      <c r="B88" t="s" s="19">
        <v>34</v>
      </c>
      <c r="C88" s="20">
        <v>46.76</v>
      </c>
      <c r="D88" s="20">
        <v>48.05</v>
      </c>
      <c r="E88" s="20">
        <v>57.78</v>
      </c>
      <c r="F88" s="20">
        <v>59.39</v>
      </c>
      <c r="G88" s="20">
        <v>75.06</v>
      </c>
    </row>
    <row r="89" ht="13.65" customHeight="1">
      <c r="A89" s="18">
        <v>2</v>
      </c>
      <c r="B89" t="s" s="19">
        <v>35</v>
      </c>
      <c r="C89" s="20">
        <v>58.05</v>
      </c>
      <c r="D89" s="20">
        <v>59.66</v>
      </c>
      <c r="E89" s="20">
        <v>70.65000000000001</v>
      </c>
      <c r="F89" s="20">
        <v>72.61</v>
      </c>
      <c r="G89" s="20">
        <v>92.31999999999999</v>
      </c>
    </row>
    <row r="90" ht="13.65" customHeight="1">
      <c r="A90" s="18">
        <v>3</v>
      </c>
      <c r="B90" t="s" s="19">
        <v>31</v>
      </c>
      <c r="C90" s="20">
        <v>18.03</v>
      </c>
      <c r="D90" s="20">
        <v>18.54</v>
      </c>
      <c r="E90" s="20">
        <v>24.85</v>
      </c>
      <c r="F90" s="20">
        <v>25.56</v>
      </c>
      <c r="G90" s="20">
        <v>31.01</v>
      </c>
    </row>
    <row r="91" ht="13.65" customHeight="1">
      <c r="A91" s="18">
        <v>3</v>
      </c>
      <c r="B91" t="s" s="19">
        <v>32</v>
      </c>
      <c r="C91" s="20">
        <v>23.49</v>
      </c>
      <c r="D91" s="20">
        <v>24.17</v>
      </c>
      <c r="E91" s="20">
        <v>31.11</v>
      </c>
      <c r="F91" s="20">
        <v>32</v>
      </c>
      <c r="G91" s="20">
        <v>39.42</v>
      </c>
    </row>
    <row r="92" ht="13.65" customHeight="1">
      <c r="A92" s="18">
        <v>3</v>
      </c>
      <c r="B92" t="s" s="19">
        <v>33</v>
      </c>
      <c r="C92" s="20">
        <v>34.48</v>
      </c>
      <c r="D92" s="20">
        <v>35.46</v>
      </c>
      <c r="E92" s="20">
        <v>43.66</v>
      </c>
      <c r="F92" s="20">
        <v>44.91</v>
      </c>
      <c r="G92" s="20">
        <v>56.25</v>
      </c>
    </row>
    <row r="93" ht="13.65" customHeight="1">
      <c r="A93" s="18">
        <v>3</v>
      </c>
      <c r="B93" t="s" s="19">
        <v>34</v>
      </c>
      <c r="C93" s="20">
        <v>45.46</v>
      </c>
      <c r="D93" s="20">
        <v>46.76</v>
      </c>
      <c r="E93" s="20">
        <v>56.18</v>
      </c>
      <c r="F93" s="20">
        <v>57.78</v>
      </c>
      <c r="G93" s="20">
        <v>73.04000000000001</v>
      </c>
    </row>
    <row r="94" ht="13.65" customHeight="1">
      <c r="A94" s="18">
        <v>3</v>
      </c>
      <c r="B94" t="s" s="19">
        <v>35</v>
      </c>
      <c r="C94" s="20">
        <v>56.44</v>
      </c>
      <c r="D94" s="20">
        <v>58.05</v>
      </c>
      <c r="E94" s="20">
        <v>68.69</v>
      </c>
      <c r="F94" s="20">
        <v>70.65000000000001</v>
      </c>
      <c r="G94" s="20">
        <v>89.81999999999999</v>
      </c>
    </row>
    <row r="95" ht="13.65" customHeight="1">
      <c r="A95" s="18">
        <v>4</v>
      </c>
      <c r="B95" t="s" s="19">
        <v>31</v>
      </c>
      <c r="C95" s="20">
        <v>17.51</v>
      </c>
      <c r="D95" s="20">
        <v>18.03</v>
      </c>
      <c r="E95" s="20">
        <v>24.14</v>
      </c>
      <c r="F95" s="20">
        <v>24.85</v>
      </c>
      <c r="G95" s="20">
        <v>30.14</v>
      </c>
    </row>
    <row r="96" ht="13.65" customHeight="1">
      <c r="A96" s="18">
        <v>4</v>
      </c>
      <c r="B96" t="s" s="19">
        <v>32</v>
      </c>
      <c r="C96" s="20">
        <v>22.82</v>
      </c>
      <c r="D96" s="20">
        <v>23.49</v>
      </c>
      <c r="E96" s="20">
        <v>30.22</v>
      </c>
      <c r="F96" s="20">
        <v>31.11</v>
      </c>
      <c r="G96" s="20">
        <v>38.33</v>
      </c>
    </row>
    <row r="97" ht="13.65" customHeight="1">
      <c r="A97" s="18">
        <v>4</v>
      </c>
      <c r="B97" t="s" s="19">
        <v>33</v>
      </c>
      <c r="C97" s="20">
        <v>33.49</v>
      </c>
      <c r="D97" s="20">
        <v>34.48</v>
      </c>
      <c r="E97" s="20">
        <v>42.42</v>
      </c>
      <c r="F97" s="20">
        <v>43.66</v>
      </c>
      <c r="G97" s="20">
        <v>54.69</v>
      </c>
    </row>
    <row r="98" ht="13.65" customHeight="1">
      <c r="A98" s="18">
        <v>4</v>
      </c>
      <c r="B98" t="s" s="19">
        <v>34</v>
      </c>
      <c r="C98" s="20">
        <v>44.16</v>
      </c>
      <c r="D98" s="20">
        <v>45.46</v>
      </c>
      <c r="E98" s="20">
        <v>54.57</v>
      </c>
      <c r="F98" s="20">
        <v>56.18</v>
      </c>
      <c r="G98" s="20">
        <v>71.01000000000001</v>
      </c>
    </row>
    <row r="99" ht="13.65" customHeight="1">
      <c r="A99" s="18">
        <v>4</v>
      </c>
      <c r="B99" t="s" s="19">
        <v>35</v>
      </c>
      <c r="C99" s="20">
        <v>54.83</v>
      </c>
      <c r="D99" s="20">
        <v>56.44</v>
      </c>
      <c r="E99" s="20">
        <v>66.73</v>
      </c>
      <c r="F99" s="20">
        <v>68.69</v>
      </c>
      <c r="G99" s="20">
        <v>87.33</v>
      </c>
    </row>
    <row r="100" ht="13.65" customHeight="1">
      <c r="A100" s="18">
        <v>5</v>
      </c>
      <c r="B100" t="s" s="19">
        <v>31</v>
      </c>
      <c r="C100" s="20">
        <v>17</v>
      </c>
      <c r="D100" s="20">
        <v>17.51</v>
      </c>
      <c r="E100" s="20">
        <v>23.43</v>
      </c>
      <c r="F100" s="20">
        <v>24.14</v>
      </c>
      <c r="G100" s="20">
        <v>29.28</v>
      </c>
    </row>
    <row r="101" ht="13.65" customHeight="1">
      <c r="A101" s="18">
        <v>5</v>
      </c>
      <c r="B101" t="s" s="19">
        <v>32</v>
      </c>
      <c r="C101" s="20">
        <v>22.15</v>
      </c>
      <c r="D101" s="20">
        <v>22.82</v>
      </c>
      <c r="E101" s="20">
        <v>29.33</v>
      </c>
      <c r="F101" s="20">
        <v>30.22</v>
      </c>
      <c r="G101" s="20">
        <v>37.23</v>
      </c>
    </row>
    <row r="102" ht="13.65" customHeight="1">
      <c r="A102" s="18">
        <v>5</v>
      </c>
      <c r="B102" t="s" s="19">
        <v>33</v>
      </c>
      <c r="C102" s="20">
        <v>32.51</v>
      </c>
      <c r="D102" s="20">
        <v>33.49</v>
      </c>
      <c r="E102" s="20">
        <v>41.17</v>
      </c>
      <c r="F102" s="20">
        <v>42.42</v>
      </c>
      <c r="G102" s="20">
        <v>53.13</v>
      </c>
    </row>
    <row r="103" ht="13.65" customHeight="1">
      <c r="A103" s="18">
        <v>5</v>
      </c>
      <c r="B103" t="s" s="19">
        <v>34</v>
      </c>
      <c r="C103" s="20">
        <v>42.86</v>
      </c>
      <c r="D103" s="20">
        <v>44.16</v>
      </c>
      <c r="E103" s="20">
        <v>52.97</v>
      </c>
      <c r="F103" s="20">
        <v>54.57</v>
      </c>
      <c r="G103" s="20">
        <v>68.98</v>
      </c>
    </row>
    <row r="104" ht="13.65" customHeight="1">
      <c r="A104" s="18">
        <v>5</v>
      </c>
      <c r="B104" t="s" s="19">
        <v>35</v>
      </c>
      <c r="C104" s="20">
        <v>53.21</v>
      </c>
      <c r="D104" s="20">
        <v>54.83</v>
      </c>
      <c r="E104" s="20">
        <v>64.76000000000001</v>
      </c>
      <c r="F104" s="20">
        <v>66.73</v>
      </c>
      <c r="G104" s="20">
        <v>84.83</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30"/>
  <sheetViews>
    <sheetView workbookViewId="0" showGridLines="0" defaultGridColor="1"/>
  </sheetViews>
  <sheetFormatPr defaultColWidth="8.66667" defaultRowHeight="15" customHeight="1" outlineLevelRow="0" outlineLevelCol="0"/>
  <cols>
    <col min="1" max="1" width="16" style="24" customWidth="1"/>
    <col min="2" max="6" width="20" style="24" customWidth="1"/>
    <col min="7" max="16384" width="8.67188" style="24" customWidth="1"/>
  </cols>
  <sheetData>
    <row r="1" ht="18.5" customHeight="1">
      <c r="A1" t="s" s="7">
        <v>43</v>
      </c>
      <c r="B1" s="8"/>
      <c r="C1" s="8"/>
      <c r="D1" s="8"/>
      <c r="E1" s="8"/>
      <c r="F1" s="9"/>
    </row>
    <row r="2" ht="13.55" customHeight="1">
      <c r="A2" s="13"/>
      <c r="B2" s="15"/>
      <c r="C2" s="11"/>
      <c r="D2" s="11"/>
      <c r="E2" s="11"/>
      <c r="F2" s="12"/>
    </row>
    <row r="3" ht="16.6" customHeight="1">
      <c r="A3" t="s" s="25">
        <v>44</v>
      </c>
      <c r="B3" s="26">
        <v>1</v>
      </c>
      <c r="C3" t="s" s="27">
        <v>45</v>
      </c>
      <c r="D3" s="11"/>
      <c r="E3" s="11"/>
      <c r="F3" s="12"/>
    </row>
    <row r="4" ht="13.55" customHeight="1">
      <c r="A4" s="13"/>
      <c r="B4" s="22"/>
      <c r="C4" s="11"/>
      <c r="D4" s="11"/>
      <c r="E4" s="11"/>
      <c r="F4" s="12"/>
    </row>
    <row r="5" ht="13.55" customHeight="1">
      <c r="A5" s="13"/>
      <c r="B5" s="11"/>
      <c r="C5" s="11"/>
      <c r="D5" s="11"/>
      <c r="E5" s="11"/>
      <c r="F5" s="12"/>
    </row>
    <row r="6" ht="14.6" customHeight="1">
      <c r="A6" t="s" s="14">
        <v>46</v>
      </c>
      <c r="B6" s="15"/>
      <c r="C6" s="15"/>
      <c r="D6" s="15"/>
      <c r="E6" s="15"/>
      <c r="F6" s="12"/>
    </row>
    <row r="7" ht="13.65" customHeight="1">
      <c r="A7" t="s" s="16">
        <v>11</v>
      </c>
      <c r="B7" t="s" s="16">
        <v>12</v>
      </c>
      <c r="C7" t="s" s="16">
        <v>47</v>
      </c>
      <c r="D7" t="s" s="16">
        <v>48</v>
      </c>
      <c r="E7" t="s" s="16">
        <v>49</v>
      </c>
      <c r="F7" s="17"/>
    </row>
    <row r="8" ht="13.65" customHeight="1">
      <c r="A8" t="s" s="19">
        <v>16</v>
      </c>
      <c r="B8" t="s" s="19">
        <v>17</v>
      </c>
      <c r="C8" s="20" cm="1">
        <f t="array" ref="C8">INDEX('Rate Card Reference (source)'!$D$7:$D$36,MATCH(1,('Rate Card Reference (source)'!$A$7:$A$36=$B$3)*('Rate Card Reference (source)'!$B$7:$B$36=$A8),0))</f>
        <v>9.18</v>
      </c>
      <c r="D8" s="20" cm="1">
        <f t="array" ref="D8">INDEX('Rate Card Reference (source)'!$E$7:$E$36,MATCH(1,('Rate Card Reference (source)'!$A$7:$A$36=$B$3)*('Rate Card Reference (source)'!$B$7:$B$36=$A8),0))</f>
        <v>9.69</v>
      </c>
      <c r="E8" s="20" cm="1">
        <f t="array" ref="E8">INDEX('Rate Card Reference (source)'!$F$7:$F$36,MATCH(1,('Rate Card Reference (source)'!$A$7:$A$36=$B$3)*('Rate Card Reference (source)'!$B$7:$B$36=$A8),0))</f>
        <v>10.2</v>
      </c>
      <c r="F8" s="17"/>
    </row>
    <row r="9" ht="13.65" customHeight="1">
      <c r="A9" t="s" s="19">
        <v>18</v>
      </c>
      <c r="B9" t="s" s="19">
        <v>19</v>
      </c>
      <c r="C9" s="20" cm="1">
        <f t="array" ref="C9">INDEX('Rate Card Reference (source)'!$D$7:$D$36,MATCH(1,('Rate Card Reference (source)'!$A$7:$A$36=$B$3)*('Rate Card Reference (source)'!$B$7:$B$36=$A9),0))</f>
        <v>10.53</v>
      </c>
      <c r="D9" s="20" cm="1">
        <f t="array" ref="D9">INDEX('Rate Card Reference (source)'!$E$7:$E$36,MATCH(1,('Rate Card Reference (source)'!$A$7:$A$36=$B$3)*('Rate Card Reference (source)'!$B$7:$B$36=$A9),0))</f>
        <v>11.12</v>
      </c>
      <c r="E9" s="20" cm="1">
        <f t="array" ref="E9">INDEX('Rate Card Reference (source)'!$F$7:$F$36,MATCH(1,('Rate Card Reference (source)'!$A$7:$A$36=$B$3)*('Rate Card Reference (source)'!$B$7:$B$36=$A9),0))</f>
        <v>11.7</v>
      </c>
      <c r="F9" s="17"/>
    </row>
    <row r="10" ht="13.65" customHeight="1">
      <c r="A10" t="s" s="19">
        <v>20</v>
      </c>
      <c r="B10" t="s" s="19">
        <v>21</v>
      </c>
      <c r="C10" s="20" cm="1">
        <f t="array" ref="C10">INDEX('Rate Card Reference (source)'!$D$7:$D$36,MATCH(1,('Rate Card Reference (source)'!$A$7:$A$36=$B$3)*('Rate Card Reference (source)'!$B$7:$B$36=$A10),0))</f>
        <v>14.4</v>
      </c>
      <c r="D10" s="20" cm="1">
        <f t="array" ref="D10">INDEX('Rate Card Reference (source)'!$E$7:$E$36,MATCH(1,('Rate Card Reference (source)'!$A$7:$A$36=$B$3)*('Rate Card Reference (source)'!$B$7:$B$36=$A10),0))</f>
        <v>15.2</v>
      </c>
      <c r="E10" s="20" cm="1">
        <f t="array" ref="E10">INDEX('Rate Card Reference (source)'!$F$7:$F$36,MATCH(1,('Rate Card Reference (source)'!$A$7:$A$36=$B$3)*('Rate Card Reference (source)'!$B$7:$B$36=$A10),0))</f>
        <v>16</v>
      </c>
      <c r="F10" s="17"/>
    </row>
    <row r="11" ht="13.65" customHeight="1">
      <c r="A11" t="s" s="19">
        <v>22</v>
      </c>
      <c r="B11" t="s" s="19">
        <v>23</v>
      </c>
      <c r="C11" s="20" cm="1">
        <f t="array" ref="C11">INDEX('Rate Card Reference (source)'!$D$7:$D$36,MATCH(1,('Rate Card Reference (source)'!$A$7:$A$36=$B$3)*('Rate Card Reference (source)'!$B$7:$B$36=$A11),0))</f>
        <v>18.23</v>
      </c>
      <c r="D11" s="20" cm="1">
        <f t="array" ref="D11">INDEX('Rate Card Reference (source)'!$E$7:$E$36,MATCH(1,('Rate Card Reference (source)'!$A$7:$A$36=$B$3)*('Rate Card Reference (source)'!$B$7:$B$36=$A11),0))</f>
        <v>19.24</v>
      </c>
      <c r="E11" s="20" cm="1">
        <f t="array" ref="E11">INDEX('Rate Card Reference (source)'!$F$7:$F$36,MATCH(1,('Rate Card Reference (source)'!$A$7:$A$36=$B$3)*('Rate Card Reference (source)'!$B$7:$B$36=$A11),0))</f>
        <v>20.25</v>
      </c>
      <c r="F11" s="17"/>
    </row>
    <row r="12" ht="13.65" customHeight="1">
      <c r="A12" t="s" s="19">
        <v>24</v>
      </c>
      <c r="B12" t="s" s="19">
        <v>25</v>
      </c>
      <c r="C12" s="20" cm="1">
        <f t="array" ref="C12">INDEX('Rate Card Reference (source)'!$D$7:$D$36,MATCH(1,('Rate Card Reference (source)'!$A$7:$A$36=$B$3)*('Rate Card Reference (source)'!$B$7:$B$36=$A12),0))</f>
        <v>22.01</v>
      </c>
      <c r="D12" s="20" cm="1">
        <f t="array" ref="D12">INDEX('Rate Card Reference (source)'!$E$7:$E$36,MATCH(1,('Rate Card Reference (source)'!$A$7:$A$36=$B$3)*('Rate Card Reference (source)'!$B$7:$B$36=$A12),0))</f>
        <v>23.23</v>
      </c>
      <c r="E12" s="20" cm="1">
        <f t="array" ref="E12">INDEX('Rate Card Reference (source)'!$F$7:$F$36,MATCH(1,('Rate Card Reference (source)'!$A$7:$A$36=$B$3)*('Rate Card Reference (source)'!$B$7:$B$36=$A12),0))</f>
        <v>24.45</v>
      </c>
      <c r="F12" s="17"/>
    </row>
    <row r="13" ht="13.55" customHeight="1">
      <c r="A13" s="21"/>
      <c r="B13" s="22"/>
      <c r="C13" s="22"/>
      <c r="D13" s="22"/>
      <c r="E13" s="22"/>
      <c r="F13" s="12"/>
    </row>
    <row r="14" ht="13.55" customHeight="1">
      <c r="A14" s="13"/>
      <c r="B14" s="11"/>
      <c r="C14" s="11"/>
      <c r="D14" s="11"/>
      <c r="E14" s="11"/>
      <c r="F14" s="12"/>
    </row>
    <row r="15" ht="14.6" customHeight="1">
      <c r="A15" t="s" s="14">
        <v>26</v>
      </c>
      <c r="B15" s="15"/>
      <c r="C15" s="15"/>
      <c r="D15" s="15"/>
      <c r="E15" s="15"/>
      <c r="F15" s="12"/>
    </row>
    <row r="16" ht="13.65" customHeight="1">
      <c r="A16" t="s" s="16">
        <v>12</v>
      </c>
      <c r="B16" t="s" s="16">
        <v>50</v>
      </c>
      <c r="C16" t="s" s="16">
        <v>51</v>
      </c>
      <c r="D16" t="s" s="16">
        <v>52</v>
      </c>
      <c r="E16" t="s" s="16">
        <v>53</v>
      </c>
      <c r="F16" s="17"/>
    </row>
    <row r="17" ht="13.65" customHeight="1">
      <c r="A17" t="s" s="19">
        <v>31</v>
      </c>
      <c r="B17" s="20" cm="1">
        <f t="array" ref="B17">INDEX('Rate Card Reference (source)'!$C$41:$C$70,MATCH(1,('Rate Card Reference (source)'!$A$41:$A$70=$B$3)*('Rate Card Reference (source)'!$B$41:$B$70=$A17),0))</f>
        <v>17.01</v>
      </c>
      <c r="C17" s="20" cm="1">
        <f t="array" ref="C17">INDEX('Rate Card Reference (source)'!$D$41:$D$70,MATCH(1,('Rate Card Reference (source)'!$A$41:$A$70=$B$3)*('Rate Card Reference (source)'!$B$41:$B$70=$A17),0))</f>
        <v>19.57</v>
      </c>
      <c r="D17" s="20" cm="1">
        <f t="array" ref="D17">INDEX('Rate Card Reference (source)'!$E$41:$E$70,MATCH(1,('Rate Card Reference (source)'!$A$41:$A$70=$B$3)*('Rate Card Reference (source)'!$B$41:$B$70=$A17),0))</f>
        <v>21.9</v>
      </c>
      <c r="E17" s="20" cm="1">
        <f t="array" ref="E17">INDEX('Rate Card Reference (source)'!$F$41:$F$70,MATCH(1,('Rate Card Reference (source)'!$A$41:$A$70=$B$3)*('Rate Card Reference (source)'!$B$41:$B$70=$A17),0))</f>
        <v>26.98</v>
      </c>
      <c r="F17" s="17"/>
    </row>
    <row r="18" ht="13.65" customHeight="1">
      <c r="A18" t="s" s="19">
        <v>32</v>
      </c>
      <c r="B18" s="20" cm="1">
        <f t="array" ref="B18">INDEX('Rate Card Reference (source)'!$C$41:$C$70,MATCH(1,('Rate Card Reference (source)'!$A$41:$A$70=$B$3)*('Rate Card Reference (source)'!$B$41:$B$70=$A18),0))</f>
        <v>20.52</v>
      </c>
      <c r="C18" s="20" cm="1">
        <f t="array" ref="C18">INDEX('Rate Card Reference (source)'!$D$41:$D$70,MATCH(1,('Rate Card Reference (source)'!$A$41:$A$70=$B$3)*('Rate Card Reference (source)'!$B$41:$B$70=$A18),0))</f>
        <v>25.51</v>
      </c>
      <c r="D18" s="20" cm="1">
        <f t="array" ref="D18">INDEX('Rate Card Reference (source)'!$E$41:$E$70,MATCH(1,('Rate Card Reference (source)'!$A$41:$A$70=$B$3)*('Rate Card Reference (source)'!$B$41:$B$70=$A18),0))</f>
        <v>28.45</v>
      </c>
      <c r="E18" s="20" cm="1">
        <f t="array" ref="E18">INDEX('Rate Card Reference (source)'!$F$41:$F$70,MATCH(1,('Rate Card Reference (source)'!$A$41:$A$70=$B$3)*('Rate Card Reference (source)'!$B$41:$B$70=$A18),0))</f>
        <v>33.77</v>
      </c>
      <c r="F18" s="17"/>
    </row>
    <row r="19" ht="13.65" customHeight="1">
      <c r="A19" t="s" s="19">
        <v>33</v>
      </c>
      <c r="B19" s="20" cm="1">
        <f t="array" ref="B19">INDEX('Rate Card Reference (source)'!$C$41:$C$70,MATCH(1,('Rate Card Reference (source)'!$A$41:$A$70=$B$3)*('Rate Card Reference (source)'!$B$41:$B$70=$A19),0))</f>
        <v>27.55</v>
      </c>
      <c r="C19" s="20" cm="1">
        <f t="array" ref="C19">INDEX('Rate Card Reference (source)'!$D$41:$D$70,MATCH(1,('Rate Card Reference (source)'!$A$41:$A$70=$B$3)*('Rate Card Reference (source)'!$B$41:$B$70=$A19),0))</f>
        <v>37.43</v>
      </c>
      <c r="D19" s="20" cm="1">
        <f t="array" ref="D19">INDEX('Rate Card Reference (source)'!$E$41:$E$70,MATCH(1,('Rate Card Reference (source)'!$A$41:$A$70=$B$3)*('Rate Card Reference (source)'!$B$41:$B$70=$A19),0))</f>
        <v>41.42</v>
      </c>
      <c r="E19" s="20" cm="1">
        <f t="array" ref="E19">INDEX('Rate Card Reference (source)'!$F$41:$F$70,MATCH(1,('Rate Card Reference (source)'!$A$41:$A$70=$B$3)*('Rate Card Reference (source)'!$B$41:$B$70=$A19),0))</f>
        <v>47.41</v>
      </c>
      <c r="F19" s="17"/>
    </row>
    <row r="20" ht="13.65" customHeight="1">
      <c r="A20" t="s" s="19">
        <v>34</v>
      </c>
      <c r="B20" s="20" cm="1">
        <f t="array" ref="B20">INDEX('Rate Card Reference (source)'!$C$41:$C$70,MATCH(1,('Rate Card Reference (source)'!$A$41:$A$70=$B$3)*('Rate Card Reference (source)'!$B$41:$B$70=$A20),0))</f>
        <v>34.58</v>
      </c>
      <c r="C20" s="20" cm="1">
        <f t="array" ref="C20">INDEX('Rate Card Reference (source)'!$D$41:$D$70,MATCH(1,('Rate Card Reference (source)'!$A$41:$A$70=$B$3)*('Rate Card Reference (source)'!$B$41:$B$70=$A20),0))</f>
        <v>49.35</v>
      </c>
      <c r="D20" s="20" cm="1">
        <f t="array" ref="D20">INDEX('Rate Card Reference (source)'!$E$41:$E$70,MATCH(1,('Rate Card Reference (source)'!$A$41:$A$70=$B$3)*('Rate Card Reference (source)'!$B$41:$B$70=$A20),0))</f>
        <v>54.53</v>
      </c>
      <c r="E20" s="20" cm="1">
        <f t="array" ref="E20">INDEX('Rate Card Reference (source)'!$F$41:$F$70,MATCH(1,('Rate Card Reference (source)'!$A$41:$A$70=$B$3)*('Rate Card Reference (source)'!$B$41:$B$70=$A20),0))</f>
        <v>60.99</v>
      </c>
      <c r="F20" s="17"/>
    </row>
    <row r="21" ht="13.65" customHeight="1">
      <c r="A21" t="s" s="19">
        <v>35</v>
      </c>
      <c r="B21" s="20" cm="1">
        <f t="array" ref="B21">INDEX('Rate Card Reference (source)'!$C$41:$C$70,MATCH(1,('Rate Card Reference (source)'!$A$41:$A$70=$B$3)*('Rate Card Reference (source)'!$B$41:$B$70=$A21),0))</f>
        <v>41.61</v>
      </c>
      <c r="C21" s="20" cm="1">
        <f t="array" ref="C21">INDEX('Rate Card Reference (source)'!$D$41:$D$70,MATCH(1,('Rate Card Reference (source)'!$A$41:$A$70=$B$3)*('Rate Card Reference (source)'!$B$41:$B$70=$A21),0))</f>
        <v>61.28</v>
      </c>
      <c r="D21" s="20" cm="1">
        <f t="array" ref="D21">INDEX('Rate Card Reference (source)'!$E$41:$E$70,MATCH(1,('Rate Card Reference (source)'!$A$41:$A$70=$B$3)*('Rate Card Reference (source)'!$B$41:$B$70=$A21),0))</f>
        <v>67.55</v>
      </c>
      <c r="E21" s="20" cm="1">
        <f t="array" ref="E21">INDEX('Rate Card Reference (source)'!$F$41:$F$70,MATCH(1,('Rate Card Reference (source)'!$A$41:$A$70=$B$3)*('Rate Card Reference (source)'!$B$41:$B$70=$A21),0))</f>
        <v>74.58</v>
      </c>
      <c r="F21" s="17"/>
    </row>
    <row r="22" ht="13.55" customHeight="1">
      <c r="A22" s="21"/>
      <c r="B22" s="22"/>
      <c r="C22" s="22"/>
      <c r="D22" s="22"/>
      <c r="E22" s="22"/>
      <c r="F22" s="12"/>
    </row>
    <row r="23" ht="13.55" customHeight="1">
      <c r="A23" s="13"/>
      <c r="B23" s="11"/>
      <c r="C23" s="11"/>
      <c r="D23" s="11"/>
      <c r="E23" s="11"/>
      <c r="F23" s="12"/>
    </row>
    <row r="24" ht="14.6" customHeight="1">
      <c r="A24" t="s" s="14">
        <v>36</v>
      </c>
      <c r="B24" s="15"/>
      <c r="C24" s="15"/>
      <c r="D24" s="15"/>
      <c r="E24" s="15"/>
      <c r="F24" s="23"/>
    </row>
    <row r="25" ht="13.65" customHeight="1">
      <c r="A25" t="s" s="16">
        <v>12</v>
      </c>
      <c r="B25" t="s" s="16">
        <v>54</v>
      </c>
      <c r="C25" t="s" s="16">
        <v>55</v>
      </c>
      <c r="D25" t="s" s="16">
        <v>56</v>
      </c>
      <c r="E25" t="s" s="16">
        <v>57</v>
      </c>
      <c r="F25" t="s" s="16">
        <v>58</v>
      </c>
    </row>
    <row r="26" ht="13.65" customHeight="1">
      <c r="A26" t="s" s="19">
        <v>31</v>
      </c>
      <c r="B26" s="20" cm="1">
        <f t="array" ref="B26">INDEX('Rate Card Reference (source)'!$C$75:$C$104,MATCH(1,('Rate Card Reference (source)'!$A$75:$A$104=$B$3)*('Rate Card Reference (source)'!$B$75:$B$104=$A26),0))</f>
        <v>19.57</v>
      </c>
      <c r="C26" s="20" cm="1">
        <f t="array" ref="C26">INDEX('Rate Card Reference (source)'!$D$75:$D$104,MATCH(1,('Rate Card Reference (source)'!$A$75:$A$104=$B$3)*('Rate Card Reference (source)'!$B$75:$B$104=$A26),0))</f>
        <v>19.57</v>
      </c>
      <c r="D26" s="20" cm="1">
        <f t="array" ref="D26">INDEX('Rate Card Reference (source)'!$E$75:$E$104,MATCH(1,('Rate Card Reference (source)'!$A$75:$A$104=$B$3)*('Rate Card Reference (source)'!$B$75:$B$104=$A26),0))</f>
        <v>26.98</v>
      </c>
      <c r="E26" s="20" cm="1">
        <f t="array" ref="E26">INDEX('Rate Card Reference (source)'!$F$75:$F$104,MATCH(1,('Rate Card Reference (source)'!$A$75:$A$104=$B$3)*('Rate Card Reference (source)'!$B$75:$B$104=$A26),0))</f>
        <v>26.98</v>
      </c>
      <c r="F26" s="20" cm="1">
        <f t="array" ref="F26">INDEX('Rate Card Reference (source)'!$G$75:$G$104,MATCH(1,('Rate Card Reference (source)'!$A$75:$A$104=$B$3)*('Rate Card Reference (source)'!$B$75:$B$104=$A26),0))</f>
        <v>32.73</v>
      </c>
    </row>
    <row r="27" ht="13.65" customHeight="1">
      <c r="A27" t="s" s="19">
        <v>32</v>
      </c>
      <c r="B27" s="20" cm="1">
        <f t="array" ref="B27">INDEX('Rate Card Reference (source)'!$C$75:$C$104,MATCH(1,('Rate Card Reference (source)'!$A$75:$A$104=$B$3)*('Rate Card Reference (source)'!$B$75:$B$104=$A27),0))</f>
        <v>25.51</v>
      </c>
      <c r="C27" s="20" cm="1">
        <f t="array" ref="C27">INDEX('Rate Card Reference (source)'!$D$75:$D$104,MATCH(1,('Rate Card Reference (source)'!$A$75:$A$104=$B$3)*('Rate Card Reference (source)'!$B$75:$B$104=$A27),0))</f>
        <v>25.51</v>
      </c>
      <c r="D27" s="20" cm="1">
        <f t="array" ref="D27">INDEX('Rate Card Reference (source)'!$E$75:$E$104,MATCH(1,('Rate Card Reference (source)'!$A$75:$A$104=$B$3)*('Rate Card Reference (source)'!$B$75:$B$104=$A27),0))</f>
        <v>33.77</v>
      </c>
      <c r="E27" s="20" cm="1">
        <f t="array" ref="E27">INDEX('Rate Card Reference (source)'!$F$75:$F$104,MATCH(1,('Rate Card Reference (source)'!$A$75:$A$104=$B$3)*('Rate Card Reference (source)'!$B$75:$B$104=$A27),0))</f>
        <v>33.77</v>
      </c>
      <c r="F27" s="20" cm="1">
        <f t="array" ref="F27">INDEX('Rate Card Reference (source)'!$G$75:$G$104,MATCH(1,('Rate Card Reference (source)'!$A$75:$A$104=$B$3)*('Rate Card Reference (source)'!$B$75:$B$104=$A27),0))</f>
        <v>41.61</v>
      </c>
    </row>
    <row r="28" ht="13.65" customHeight="1">
      <c r="A28" t="s" s="19">
        <v>33</v>
      </c>
      <c r="B28" s="20" cm="1">
        <f t="array" ref="B28">INDEX('Rate Card Reference (source)'!$C$75:$C$104,MATCH(1,('Rate Card Reference (source)'!$A$75:$A$104=$B$3)*('Rate Card Reference (source)'!$B$75:$B$104=$A28),0))</f>
        <v>37.43</v>
      </c>
      <c r="C28" s="20" cm="1">
        <f t="array" ref="C28">INDEX('Rate Card Reference (source)'!$D$75:$D$104,MATCH(1,('Rate Card Reference (source)'!$A$75:$A$104=$B$3)*('Rate Card Reference (source)'!$B$75:$B$104=$A28),0))</f>
        <v>37.43</v>
      </c>
      <c r="D28" s="20" cm="1">
        <f t="array" ref="D28">INDEX('Rate Card Reference (source)'!$E$75:$E$104,MATCH(1,('Rate Card Reference (source)'!$A$75:$A$104=$B$3)*('Rate Card Reference (source)'!$B$75:$B$104=$A28),0))</f>
        <v>47.41</v>
      </c>
      <c r="E28" s="20" cm="1">
        <f t="array" ref="E28">INDEX('Rate Card Reference (source)'!$F$75:$F$104,MATCH(1,('Rate Card Reference (source)'!$A$75:$A$104=$B$3)*('Rate Card Reference (source)'!$B$75:$B$104=$A28),0))</f>
        <v>47.41</v>
      </c>
      <c r="F28" s="20" cm="1">
        <f t="array" ref="F28">INDEX('Rate Card Reference (source)'!$G$75:$G$104,MATCH(1,('Rate Card Reference (source)'!$A$75:$A$104=$B$3)*('Rate Card Reference (source)'!$B$75:$B$104=$A28),0))</f>
        <v>59.38</v>
      </c>
    </row>
    <row r="29" ht="13.65" customHeight="1">
      <c r="A29" t="s" s="19">
        <v>34</v>
      </c>
      <c r="B29" s="20" cm="1">
        <f t="array" ref="B29">INDEX('Rate Card Reference (source)'!$C$75:$C$104,MATCH(1,('Rate Card Reference (source)'!$A$75:$A$104=$B$3)*('Rate Card Reference (source)'!$B$75:$B$104=$A29),0))</f>
        <v>49.35</v>
      </c>
      <c r="C29" s="20" cm="1">
        <f t="array" ref="C29">INDEX('Rate Card Reference (source)'!$D$75:$D$104,MATCH(1,('Rate Card Reference (source)'!$A$75:$A$104=$B$3)*('Rate Card Reference (source)'!$B$75:$B$104=$A29),0))</f>
        <v>49.35</v>
      </c>
      <c r="D29" s="20" cm="1">
        <f t="array" ref="D29">INDEX('Rate Card Reference (source)'!$E$75:$E$104,MATCH(1,('Rate Card Reference (source)'!$A$75:$A$104=$B$3)*('Rate Card Reference (source)'!$B$75:$B$104=$A29),0))</f>
        <v>60.99</v>
      </c>
      <c r="E29" s="20" cm="1">
        <f t="array" ref="E29">INDEX('Rate Card Reference (source)'!$F$75:$F$104,MATCH(1,('Rate Card Reference (source)'!$A$75:$A$104=$B$3)*('Rate Card Reference (source)'!$B$75:$B$104=$A29),0))</f>
        <v>60.99</v>
      </c>
      <c r="F29" s="20" cm="1">
        <f t="array" ref="F29">INDEX('Rate Card Reference (source)'!$G$75:$G$104,MATCH(1,('Rate Card Reference (source)'!$A$75:$A$104=$B$3)*('Rate Card Reference (source)'!$B$75:$B$104=$A29),0))</f>
        <v>77.09</v>
      </c>
    </row>
    <row r="30" ht="13.65" customHeight="1">
      <c r="A30" t="s" s="19">
        <v>35</v>
      </c>
      <c r="B30" s="20" cm="1">
        <f t="array" ref="B30">INDEX('Rate Card Reference (source)'!$C$75:$C$104,MATCH(1,('Rate Card Reference (source)'!$A$75:$A$104=$B$3)*('Rate Card Reference (source)'!$B$75:$B$104=$A30),0))</f>
        <v>61.28</v>
      </c>
      <c r="C30" s="20" cm="1">
        <f t="array" ref="C30">INDEX('Rate Card Reference (source)'!$D$75:$D$104,MATCH(1,('Rate Card Reference (source)'!$A$75:$A$104=$B$3)*('Rate Card Reference (source)'!$B$75:$B$104=$A30),0))</f>
        <v>61.28</v>
      </c>
      <c r="D30" s="20" cm="1">
        <f t="array" ref="D30">INDEX('Rate Card Reference (source)'!$E$75:$E$104,MATCH(1,('Rate Card Reference (source)'!$A$75:$A$104=$B$3)*('Rate Card Reference (source)'!$B$75:$B$104=$A30),0))</f>
        <v>74.58</v>
      </c>
      <c r="E30" s="20" cm="1">
        <f t="array" ref="E30">INDEX('Rate Card Reference (source)'!$F$75:$F$104,MATCH(1,('Rate Card Reference (source)'!$A$75:$A$104=$B$3)*('Rate Card Reference (source)'!$B$75:$B$104=$A30),0))</f>
        <v>74.58</v>
      </c>
      <c r="F30" s="20" cm="1">
        <f t="array" ref="F30">INDEX('Rate Card Reference (source)'!$G$75:$G$104,MATCH(1,('Rate Card Reference (source)'!$A$75:$A$104=$B$3)*('Rate Card Reference (source)'!$B$75:$B$104=$A30),0))</f>
        <v>94.81</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H234"/>
  <sheetViews>
    <sheetView workbookViewId="0" showGridLines="0" defaultGridColor="1"/>
  </sheetViews>
  <sheetFormatPr defaultColWidth="8.66667" defaultRowHeight="15" customHeight="1" outlineLevelRow="0" outlineLevelCol="0"/>
  <cols>
    <col min="1" max="1" width="32" style="28" customWidth="1"/>
    <col min="2" max="2" width="8" style="28" customWidth="1"/>
    <col min="3" max="3" width="16" style="28" customWidth="1"/>
    <col min="4" max="6" width="13" style="28" customWidth="1"/>
    <col min="7" max="7" width="15" style="28" customWidth="1"/>
    <col min="8" max="8" width="14" style="28" customWidth="1"/>
    <col min="9" max="16384" width="8.67188" style="28" customWidth="1"/>
  </cols>
  <sheetData>
    <row r="1" ht="17.55" customHeight="1">
      <c r="A1" t="s" s="29">
        <v>60</v>
      </c>
      <c r="B1" s="8"/>
      <c r="C1" s="8"/>
      <c r="D1" s="8"/>
      <c r="E1" s="8"/>
      <c r="F1" s="8"/>
      <c r="G1" s="8"/>
      <c r="H1" s="9"/>
    </row>
    <row r="2" ht="30" customHeight="1">
      <c r="A2" t="s" s="30">
        <v>61</v>
      </c>
      <c r="B2" s="11"/>
      <c r="C2" s="11"/>
      <c r="D2" s="11"/>
      <c r="E2" s="11"/>
      <c r="F2" s="11"/>
      <c r="G2" s="11"/>
      <c r="H2" s="12"/>
    </row>
    <row r="3" ht="13.55" customHeight="1">
      <c r="A3" s="31"/>
      <c r="B3" s="15"/>
      <c r="C3" s="15"/>
      <c r="D3" s="15"/>
      <c r="E3" s="15"/>
      <c r="F3" s="15"/>
      <c r="G3" s="15"/>
      <c r="H3" s="23"/>
    </row>
    <row r="4" ht="13.65" customHeight="1">
      <c r="A4" t="s" s="16">
        <v>62</v>
      </c>
      <c r="B4" t="s" s="16">
        <v>63</v>
      </c>
      <c r="C4" t="s" s="16">
        <v>64</v>
      </c>
      <c r="D4" t="s" s="16">
        <v>31</v>
      </c>
      <c r="E4" t="s" s="16">
        <v>32</v>
      </c>
      <c r="F4" t="s" s="16">
        <v>33</v>
      </c>
      <c r="G4" t="s" s="16">
        <v>34</v>
      </c>
      <c r="H4" t="s" s="16">
        <v>35</v>
      </c>
    </row>
    <row r="5" ht="13.65" customHeight="1">
      <c r="A5" t="s" s="32">
        <v>65</v>
      </c>
      <c r="B5" s="33">
        <v>5</v>
      </c>
      <c r="C5" t="s" s="32">
        <v>66</v>
      </c>
      <c r="D5" s="20" cm="1">
        <f t="array" ref="D5">'Delivery Details and calculatio'!$F$26</f>
        <v>32.73</v>
      </c>
      <c r="E5" s="20" cm="1">
        <f t="array" ref="E5">'Delivery Details and calculatio'!$F$27</f>
        <v>41.61</v>
      </c>
      <c r="F5" s="20" cm="1">
        <f t="array" ref="F5">'Delivery Details and calculatio'!$F$28</f>
        <v>59.38</v>
      </c>
      <c r="G5" s="20" cm="1">
        <f t="array" ref="G5">'Delivery Details and calculatio'!$F$29</f>
        <v>77.09</v>
      </c>
      <c r="H5" s="20" cm="1">
        <f t="array" ref="H5">'Delivery Details and calculatio'!$F$30</f>
        <v>94.81</v>
      </c>
    </row>
    <row r="6" ht="13.65" customHeight="1">
      <c r="A6" t="s" s="32">
        <v>67</v>
      </c>
      <c r="B6" s="33">
        <v>4</v>
      </c>
      <c r="C6" t="s" s="32">
        <v>68</v>
      </c>
      <c r="D6" s="20" cm="1">
        <f t="array" ref="D6">'Delivery Details and calculatio'!$D$26</f>
        <v>26.98</v>
      </c>
      <c r="E6" s="20" cm="1">
        <f t="array" ref="E6">'Delivery Details and calculatio'!$D$27</f>
        <v>33.77</v>
      </c>
      <c r="F6" s="20" cm="1">
        <f t="array" ref="F6">'Delivery Details and calculatio'!$D$28</f>
        <v>47.41</v>
      </c>
      <c r="G6" s="20" cm="1">
        <f t="array" ref="G6">'Delivery Details and calculatio'!$D$29</f>
        <v>60.99</v>
      </c>
      <c r="H6" s="20" cm="1">
        <f t="array" ref="H6">'Delivery Details and calculatio'!$D$30</f>
        <v>74.58</v>
      </c>
    </row>
    <row r="7" ht="13.65" customHeight="1">
      <c r="A7" t="s" s="32">
        <v>69</v>
      </c>
      <c r="B7" s="33">
        <v>5</v>
      </c>
      <c r="C7" t="s" s="32">
        <v>66</v>
      </c>
      <c r="D7" s="20" cm="1">
        <f t="array" ref="D7">'Delivery Details and calculatio'!$F$26</f>
        <v>32.73</v>
      </c>
      <c r="E7" s="20" cm="1">
        <f t="array" ref="E7">'Delivery Details and calculatio'!$F$27</f>
        <v>41.61</v>
      </c>
      <c r="F7" s="20" cm="1">
        <f t="array" ref="F7">'Delivery Details and calculatio'!$F$28</f>
        <v>59.38</v>
      </c>
      <c r="G7" s="20" cm="1">
        <f t="array" ref="G7">'Delivery Details and calculatio'!$F$29</f>
        <v>77.09</v>
      </c>
      <c r="H7" s="20" cm="1">
        <f t="array" ref="H7">'Delivery Details and calculatio'!$F$30</f>
        <v>94.81</v>
      </c>
    </row>
    <row r="8" ht="13.65" customHeight="1">
      <c r="A8" t="s" s="32">
        <v>70</v>
      </c>
      <c r="B8" s="33">
        <v>2</v>
      </c>
      <c r="C8" t="s" s="32">
        <v>71</v>
      </c>
      <c r="D8" s="20" cm="1">
        <f t="array" ref="D8">'Delivery Details and calculatio'!$B$26</f>
        <v>19.57</v>
      </c>
      <c r="E8" s="20" cm="1">
        <f t="array" ref="E8">'Delivery Details and calculatio'!$B$27</f>
        <v>25.51</v>
      </c>
      <c r="F8" s="20" cm="1">
        <f t="array" ref="F8">'Delivery Details and calculatio'!$B$28</f>
        <v>37.43</v>
      </c>
      <c r="G8" s="20" cm="1">
        <f t="array" ref="G8">'Delivery Details and calculatio'!$B$29</f>
        <v>49.35</v>
      </c>
      <c r="H8" s="20" cm="1">
        <f t="array" ref="H8">'Delivery Details and calculatio'!$B$30</f>
        <v>61.28</v>
      </c>
    </row>
    <row r="9" ht="13.65" customHeight="1">
      <c r="A9" t="s" s="32">
        <v>72</v>
      </c>
      <c r="B9" s="33">
        <v>4</v>
      </c>
      <c r="C9" t="s" s="32">
        <v>68</v>
      </c>
      <c r="D9" s="20" cm="1">
        <f t="array" ref="D9">'Delivery Details and calculatio'!$D$26</f>
        <v>26.98</v>
      </c>
      <c r="E9" s="20" cm="1">
        <f t="array" ref="E9">'Delivery Details and calculatio'!$D$27</f>
        <v>33.77</v>
      </c>
      <c r="F9" s="20" cm="1">
        <f t="array" ref="F9">'Delivery Details and calculatio'!$D$28</f>
        <v>47.41</v>
      </c>
      <c r="G9" s="20" cm="1">
        <f t="array" ref="G9">'Delivery Details and calculatio'!$D$29</f>
        <v>60.99</v>
      </c>
      <c r="H9" s="20" cm="1">
        <f t="array" ref="H9">'Delivery Details and calculatio'!$D$30</f>
        <v>74.58</v>
      </c>
    </row>
    <row r="10" ht="13.65" customHeight="1">
      <c r="A10" t="s" s="32">
        <v>73</v>
      </c>
      <c r="B10" s="33">
        <v>5</v>
      </c>
      <c r="C10" t="s" s="32">
        <v>66</v>
      </c>
      <c r="D10" s="20" cm="1">
        <f t="array" ref="D10">'Delivery Details and calculatio'!$F$26</f>
        <v>32.73</v>
      </c>
      <c r="E10" s="20" cm="1">
        <f t="array" ref="E10">'Delivery Details and calculatio'!$F$27</f>
        <v>41.61</v>
      </c>
      <c r="F10" s="20" cm="1">
        <f t="array" ref="F10">'Delivery Details and calculatio'!$F$28</f>
        <v>59.38</v>
      </c>
      <c r="G10" s="20" cm="1">
        <f t="array" ref="G10">'Delivery Details and calculatio'!$F$29</f>
        <v>77.09</v>
      </c>
      <c r="H10" s="20" cm="1">
        <f t="array" ref="H10">'Delivery Details and calculatio'!$F$30</f>
        <v>94.81</v>
      </c>
    </row>
    <row r="11" ht="13.65" customHeight="1">
      <c r="A11" t="s" s="32">
        <v>74</v>
      </c>
      <c r="B11" s="33">
        <v>5</v>
      </c>
      <c r="C11" t="s" s="32">
        <v>66</v>
      </c>
      <c r="D11" s="20" cm="1">
        <f t="array" ref="D11">'Delivery Details and calculatio'!$F$26</f>
        <v>32.73</v>
      </c>
      <c r="E11" s="20" cm="1">
        <f t="array" ref="E11">'Delivery Details and calculatio'!$F$27</f>
        <v>41.61</v>
      </c>
      <c r="F11" s="20" cm="1">
        <f t="array" ref="F11">'Delivery Details and calculatio'!$F$28</f>
        <v>59.38</v>
      </c>
      <c r="G11" s="20" cm="1">
        <f t="array" ref="G11">'Delivery Details and calculatio'!$F$29</f>
        <v>77.09</v>
      </c>
      <c r="H11" s="20" cm="1">
        <f t="array" ref="H11">'Delivery Details and calculatio'!$F$30</f>
        <v>94.81</v>
      </c>
    </row>
    <row r="12" ht="13.65" customHeight="1">
      <c r="A12" t="s" s="32">
        <v>75</v>
      </c>
      <c r="B12" s="33">
        <v>5</v>
      </c>
      <c r="C12" t="s" s="32">
        <v>66</v>
      </c>
      <c r="D12" s="20" cm="1">
        <f t="array" ref="D12">'Delivery Details and calculatio'!$F$26</f>
        <v>32.73</v>
      </c>
      <c r="E12" s="20" cm="1">
        <f t="array" ref="E12">'Delivery Details and calculatio'!$F$27</f>
        <v>41.61</v>
      </c>
      <c r="F12" s="20" cm="1">
        <f t="array" ref="F12">'Delivery Details and calculatio'!$F$28</f>
        <v>59.38</v>
      </c>
      <c r="G12" s="20" cm="1">
        <f t="array" ref="G12">'Delivery Details and calculatio'!$F$29</f>
        <v>77.09</v>
      </c>
      <c r="H12" s="20" cm="1">
        <f t="array" ref="H12">'Delivery Details and calculatio'!$F$30</f>
        <v>94.81</v>
      </c>
    </row>
    <row r="13" ht="13.65" customHeight="1">
      <c r="A13" t="s" s="32">
        <v>76</v>
      </c>
      <c r="B13" s="33">
        <v>5</v>
      </c>
      <c r="C13" t="s" s="32">
        <v>66</v>
      </c>
      <c r="D13" s="20" cm="1">
        <f t="array" ref="D13">'Delivery Details and calculatio'!$F$26</f>
        <v>32.73</v>
      </c>
      <c r="E13" s="20" cm="1">
        <f t="array" ref="E13">'Delivery Details and calculatio'!$F$27</f>
        <v>41.61</v>
      </c>
      <c r="F13" s="20" cm="1">
        <f t="array" ref="F13">'Delivery Details and calculatio'!$F$28</f>
        <v>59.38</v>
      </c>
      <c r="G13" s="20" cm="1">
        <f t="array" ref="G13">'Delivery Details and calculatio'!$F$29</f>
        <v>77.09</v>
      </c>
      <c r="H13" s="20" cm="1">
        <f t="array" ref="H13">'Delivery Details and calculatio'!$F$30</f>
        <v>94.81</v>
      </c>
    </row>
    <row r="14" ht="13.65" customHeight="1">
      <c r="A14" t="s" s="32">
        <v>77</v>
      </c>
      <c r="B14" s="33">
        <v>5</v>
      </c>
      <c r="C14" t="s" s="32">
        <v>66</v>
      </c>
      <c r="D14" s="20" cm="1">
        <f t="array" ref="D14">'Delivery Details and calculatio'!$F$26</f>
        <v>32.73</v>
      </c>
      <c r="E14" s="20" cm="1">
        <f t="array" ref="E14">'Delivery Details and calculatio'!$F$27</f>
        <v>41.61</v>
      </c>
      <c r="F14" s="20" cm="1">
        <f t="array" ref="F14">'Delivery Details and calculatio'!$F$28</f>
        <v>59.38</v>
      </c>
      <c r="G14" s="20" cm="1">
        <f t="array" ref="G14">'Delivery Details and calculatio'!$F$29</f>
        <v>77.09</v>
      </c>
      <c r="H14" s="20" cm="1">
        <f t="array" ref="H14">'Delivery Details and calculatio'!$F$30</f>
        <v>94.81</v>
      </c>
    </row>
    <row r="15" ht="13.65" customHeight="1">
      <c r="A15" t="s" s="32">
        <v>78</v>
      </c>
      <c r="B15" s="33">
        <v>5</v>
      </c>
      <c r="C15" t="s" s="32">
        <v>66</v>
      </c>
      <c r="D15" s="20" cm="1">
        <f t="array" ref="D15">'Delivery Details and calculatio'!$F$26</f>
        <v>32.73</v>
      </c>
      <c r="E15" s="20" cm="1">
        <f t="array" ref="E15">'Delivery Details and calculatio'!$F$27</f>
        <v>41.61</v>
      </c>
      <c r="F15" s="20" cm="1">
        <f t="array" ref="F15">'Delivery Details and calculatio'!$F$28</f>
        <v>59.38</v>
      </c>
      <c r="G15" s="20" cm="1">
        <f t="array" ref="G15">'Delivery Details and calculatio'!$F$29</f>
        <v>77.09</v>
      </c>
      <c r="H15" s="20" cm="1">
        <f t="array" ref="H15">'Delivery Details and calculatio'!$F$30</f>
        <v>94.81</v>
      </c>
    </row>
    <row r="16" ht="13.65" customHeight="1">
      <c r="A16" t="s" s="32">
        <v>79</v>
      </c>
      <c r="B16" s="33">
        <v>4</v>
      </c>
      <c r="C16" t="s" s="32">
        <v>68</v>
      </c>
      <c r="D16" s="20" cm="1">
        <f t="array" ref="D16">'Delivery Details and calculatio'!$D$26</f>
        <v>26.98</v>
      </c>
      <c r="E16" s="20" cm="1">
        <f t="array" ref="E16">'Delivery Details and calculatio'!$D$27</f>
        <v>33.77</v>
      </c>
      <c r="F16" s="20" cm="1">
        <f t="array" ref="F16">'Delivery Details and calculatio'!$D$28</f>
        <v>47.41</v>
      </c>
      <c r="G16" s="20" cm="1">
        <f t="array" ref="G16">'Delivery Details and calculatio'!$D$29</f>
        <v>60.99</v>
      </c>
      <c r="H16" s="20" cm="1">
        <f t="array" ref="H16">'Delivery Details and calculatio'!$D$30</f>
        <v>74.58</v>
      </c>
    </row>
    <row r="17" ht="13.65" customHeight="1">
      <c r="A17" t="s" s="32">
        <v>80</v>
      </c>
      <c r="B17" s="33">
        <v>5</v>
      </c>
      <c r="C17" t="s" s="32">
        <v>66</v>
      </c>
      <c r="D17" s="20" cm="1">
        <f t="array" ref="D17">'Delivery Details and calculatio'!$F$26</f>
        <v>32.73</v>
      </c>
      <c r="E17" s="20" cm="1">
        <f t="array" ref="E17">'Delivery Details and calculatio'!$F$27</f>
        <v>41.61</v>
      </c>
      <c r="F17" s="20" cm="1">
        <f t="array" ref="F17">'Delivery Details and calculatio'!$F$28</f>
        <v>59.38</v>
      </c>
      <c r="G17" s="20" cm="1">
        <f t="array" ref="G17">'Delivery Details and calculatio'!$F$29</f>
        <v>77.09</v>
      </c>
      <c r="H17" s="20" cm="1">
        <f t="array" ref="H17">'Delivery Details and calculatio'!$F$30</f>
        <v>94.81</v>
      </c>
    </row>
    <row r="18" ht="13.65" customHeight="1">
      <c r="A18" t="s" s="32">
        <v>81</v>
      </c>
      <c r="B18" s="33">
        <v>5</v>
      </c>
      <c r="C18" t="s" s="32">
        <v>66</v>
      </c>
      <c r="D18" s="20" cm="1">
        <f t="array" ref="D18">'Delivery Details and calculatio'!$F$26</f>
        <v>32.73</v>
      </c>
      <c r="E18" s="20" cm="1">
        <f t="array" ref="E18">'Delivery Details and calculatio'!$F$27</f>
        <v>41.61</v>
      </c>
      <c r="F18" s="20" cm="1">
        <f t="array" ref="F18">'Delivery Details and calculatio'!$F$28</f>
        <v>59.38</v>
      </c>
      <c r="G18" s="20" cm="1">
        <f t="array" ref="G18">'Delivery Details and calculatio'!$F$29</f>
        <v>77.09</v>
      </c>
      <c r="H18" s="20" cm="1">
        <f t="array" ref="H18">'Delivery Details and calculatio'!$F$30</f>
        <v>94.81</v>
      </c>
    </row>
    <row r="19" ht="13.65" customHeight="1">
      <c r="A19" t="s" s="32">
        <v>82</v>
      </c>
      <c r="B19" s="33">
        <v>5</v>
      </c>
      <c r="C19" t="s" s="32">
        <v>66</v>
      </c>
      <c r="D19" s="20" cm="1">
        <f t="array" ref="D19">'Delivery Details and calculatio'!$F$26</f>
        <v>32.73</v>
      </c>
      <c r="E19" s="20" cm="1">
        <f t="array" ref="E19">'Delivery Details and calculatio'!$F$27</f>
        <v>41.61</v>
      </c>
      <c r="F19" s="20" cm="1">
        <f t="array" ref="F19">'Delivery Details and calculatio'!$F$28</f>
        <v>59.38</v>
      </c>
      <c r="G19" s="20" cm="1">
        <f t="array" ref="G19">'Delivery Details and calculatio'!$F$29</f>
        <v>77.09</v>
      </c>
      <c r="H19" s="20" cm="1">
        <f t="array" ref="H19">'Delivery Details and calculatio'!$F$30</f>
        <v>94.81</v>
      </c>
    </row>
    <row r="20" ht="13.65" customHeight="1">
      <c r="A20" t="s" s="32">
        <v>83</v>
      </c>
      <c r="B20" s="33">
        <v>2</v>
      </c>
      <c r="C20" t="s" s="32">
        <v>71</v>
      </c>
      <c r="D20" s="20" cm="1">
        <f t="array" ref="D20">'Delivery Details and calculatio'!$B$26</f>
        <v>19.57</v>
      </c>
      <c r="E20" s="20" cm="1">
        <f t="array" ref="E20">'Delivery Details and calculatio'!$B$27</f>
        <v>25.51</v>
      </c>
      <c r="F20" s="20" cm="1">
        <f t="array" ref="F20">'Delivery Details and calculatio'!$B$28</f>
        <v>37.43</v>
      </c>
      <c r="G20" s="20" cm="1">
        <f t="array" ref="G20">'Delivery Details and calculatio'!$B$29</f>
        <v>49.35</v>
      </c>
      <c r="H20" s="20" cm="1">
        <f t="array" ref="H20">'Delivery Details and calculatio'!$B$30</f>
        <v>61.28</v>
      </c>
    </row>
    <row r="21" ht="13.65" customHeight="1">
      <c r="A21" t="s" s="32">
        <v>84</v>
      </c>
      <c r="B21" s="33">
        <v>5</v>
      </c>
      <c r="C21" t="s" s="32">
        <v>66</v>
      </c>
      <c r="D21" s="20" cm="1">
        <f t="array" ref="D21">'Delivery Details and calculatio'!$F$26</f>
        <v>32.73</v>
      </c>
      <c r="E21" s="20" cm="1">
        <f t="array" ref="E21">'Delivery Details and calculatio'!$F$27</f>
        <v>41.61</v>
      </c>
      <c r="F21" s="20" cm="1">
        <f t="array" ref="F21">'Delivery Details and calculatio'!$F$28</f>
        <v>59.38</v>
      </c>
      <c r="G21" s="20" cm="1">
        <f t="array" ref="G21">'Delivery Details and calculatio'!$F$29</f>
        <v>77.09</v>
      </c>
      <c r="H21" s="20" cm="1">
        <f t="array" ref="H21">'Delivery Details and calculatio'!$F$30</f>
        <v>94.81</v>
      </c>
    </row>
    <row r="22" ht="13.65" customHeight="1">
      <c r="A22" t="s" s="32">
        <v>85</v>
      </c>
      <c r="B22" s="33">
        <v>5</v>
      </c>
      <c r="C22" t="s" s="32">
        <v>66</v>
      </c>
      <c r="D22" s="20" cm="1">
        <f t="array" ref="D22">'Delivery Details and calculatio'!$F$26</f>
        <v>32.73</v>
      </c>
      <c r="E22" s="20" cm="1">
        <f t="array" ref="E22">'Delivery Details and calculatio'!$F$27</f>
        <v>41.61</v>
      </c>
      <c r="F22" s="20" cm="1">
        <f t="array" ref="F22">'Delivery Details and calculatio'!$F$28</f>
        <v>59.38</v>
      </c>
      <c r="G22" s="20" cm="1">
        <f t="array" ref="G22">'Delivery Details and calculatio'!$F$29</f>
        <v>77.09</v>
      </c>
      <c r="H22" s="20" cm="1">
        <f t="array" ref="H22">'Delivery Details and calculatio'!$F$30</f>
        <v>94.81</v>
      </c>
    </row>
    <row r="23" ht="13.65" customHeight="1">
      <c r="A23" t="s" s="32">
        <v>86</v>
      </c>
      <c r="B23" s="33">
        <v>4</v>
      </c>
      <c r="C23" t="s" s="32">
        <v>68</v>
      </c>
      <c r="D23" s="20" cm="1">
        <f t="array" ref="D23">'Delivery Details and calculatio'!$D$26</f>
        <v>26.98</v>
      </c>
      <c r="E23" s="20" cm="1">
        <f t="array" ref="E23">'Delivery Details and calculatio'!$D$27</f>
        <v>33.77</v>
      </c>
      <c r="F23" s="20" cm="1">
        <f t="array" ref="F23">'Delivery Details and calculatio'!$D$28</f>
        <v>47.41</v>
      </c>
      <c r="G23" s="20" cm="1">
        <f t="array" ref="G23">'Delivery Details and calculatio'!$D$29</f>
        <v>60.99</v>
      </c>
      <c r="H23" s="20" cm="1">
        <f t="array" ref="H23">'Delivery Details and calculatio'!$D$30</f>
        <v>74.58</v>
      </c>
    </row>
    <row r="24" ht="13.65" customHeight="1">
      <c r="A24" t="s" s="32">
        <v>87</v>
      </c>
      <c r="B24" s="33">
        <v>5</v>
      </c>
      <c r="C24" t="s" s="32">
        <v>66</v>
      </c>
      <c r="D24" s="20" cm="1">
        <f t="array" ref="D24">'Delivery Details and calculatio'!$F$26</f>
        <v>32.73</v>
      </c>
      <c r="E24" s="20" cm="1">
        <f t="array" ref="E24">'Delivery Details and calculatio'!$F$27</f>
        <v>41.61</v>
      </c>
      <c r="F24" s="20" cm="1">
        <f t="array" ref="F24">'Delivery Details and calculatio'!$F$28</f>
        <v>59.38</v>
      </c>
      <c r="G24" s="20" cm="1">
        <f t="array" ref="G24">'Delivery Details and calculatio'!$F$29</f>
        <v>77.09</v>
      </c>
      <c r="H24" s="20" cm="1">
        <f t="array" ref="H24">'Delivery Details and calculatio'!$F$30</f>
        <v>94.81</v>
      </c>
    </row>
    <row r="25" ht="13.65" customHeight="1">
      <c r="A25" t="s" s="32">
        <v>88</v>
      </c>
      <c r="B25" s="33">
        <v>5</v>
      </c>
      <c r="C25" t="s" s="32">
        <v>66</v>
      </c>
      <c r="D25" s="20" cm="1">
        <f t="array" ref="D25">'Delivery Details and calculatio'!$F$26</f>
        <v>32.73</v>
      </c>
      <c r="E25" s="20" cm="1">
        <f t="array" ref="E25">'Delivery Details and calculatio'!$F$27</f>
        <v>41.61</v>
      </c>
      <c r="F25" s="20" cm="1">
        <f t="array" ref="F25">'Delivery Details and calculatio'!$F$28</f>
        <v>59.38</v>
      </c>
      <c r="G25" s="20" cm="1">
        <f t="array" ref="G25">'Delivery Details and calculatio'!$F$29</f>
        <v>77.09</v>
      </c>
      <c r="H25" s="20" cm="1">
        <f t="array" ref="H25">'Delivery Details and calculatio'!$F$30</f>
        <v>94.81</v>
      </c>
    </row>
    <row r="26" ht="13.65" customHeight="1">
      <c r="A26" t="s" s="32">
        <v>89</v>
      </c>
      <c r="B26" s="33">
        <v>5</v>
      </c>
      <c r="C26" t="s" s="32">
        <v>66</v>
      </c>
      <c r="D26" s="20" cm="1">
        <f t="array" ref="D26">'Delivery Details and calculatio'!$F$26</f>
        <v>32.73</v>
      </c>
      <c r="E26" s="20" cm="1">
        <f t="array" ref="E26">'Delivery Details and calculatio'!$F$27</f>
        <v>41.61</v>
      </c>
      <c r="F26" s="20" cm="1">
        <f t="array" ref="F26">'Delivery Details and calculatio'!$F$28</f>
        <v>59.38</v>
      </c>
      <c r="G26" s="20" cm="1">
        <f t="array" ref="G26">'Delivery Details and calculatio'!$F$29</f>
        <v>77.09</v>
      </c>
      <c r="H26" s="20" cm="1">
        <f t="array" ref="H26">'Delivery Details and calculatio'!$F$30</f>
        <v>94.81</v>
      </c>
    </row>
    <row r="27" ht="13.65" customHeight="1">
      <c r="A27" t="s" s="32">
        <v>90</v>
      </c>
      <c r="B27" s="33">
        <v>5</v>
      </c>
      <c r="C27" t="s" s="32">
        <v>66</v>
      </c>
      <c r="D27" s="20" cm="1">
        <f t="array" ref="D27">'Delivery Details and calculatio'!$F$26</f>
        <v>32.73</v>
      </c>
      <c r="E27" s="20" cm="1">
        <f t="array" ref="E27">'Delivery Details and calculatio'!$F$27</f>
        <v>41.61</v>
      </c>
      <c r="F27" s="20" cm="1">
        <f t="array" ref="F27">'Delivery Details and calculatio'!$F$28</f>
        <v>59.38</v>
      </c>
      <c r="G27" s="20" cm="1">
        <f t="array" ref="G27">'Delivery Details and calculatio'!$F$29</f>
        <v>77.09</v>
      </c>
      <c r="H27" s="20" cm="1">
        <f t="array" ref="H27">'Delivery Details and calculatio'!$F$30</f>
        <v>94.81</v>
      </c>
    </row>
    <row r="28" ht="13.65" customHeight="1">
      <c r="A28" t="s" s="32">
        <v>91</v>
      </c>
      <c r="B28" s="33">
        <v>5</v>
      </c>
      <c r="C28" t="s" s="32">
        <v>66</v>
      </c>
      <c r="D28" s="20" cm="1">
        <f t="array" ref="D28">'Delivery Details and calculatio'!$F$26</f>
        <v>32.73</v>
      </c>
      <c r="E28" s="20" cm="1">
        <f t="array" ref="E28">'Delivery Details and calculatio'!$F$27</f>
        <v>41.61</v>
      </c>
      <c r="F28" s="20" cm="1">
        <f t="array" ref="F28">'Delivery Details and calculatio'!$F$28</f>
        <v>59.38</v>
      </c>
      <c r="G28" s="20" cm="1">
        <f t="array" ref="G28">'Delivery Details and calculatio'!$F$29</f>
        <v>77.09</v>
      </c>
      <c r="H28" s="20" cm="1">
        <f t="array" ref="H28">'Delivery Details and calculatio'!$F$30</f>
        <v>94.81</v>
      </c>
    </row>
    <row r="29" ht="13.65" customHeight="1">
      <c r="A29" t="s" s="32">
        <v>92</v>
      </c>
      <c r="B29" s="33">
        <v>5</v>
      </c>
      <c r="C29" t="s" s="32">
        <v>66</v>
      </c>
      <c r="D29" s="20" cm="1">
        <f t="array" ref="D29">'Delivery Details and calculatio'!$F$26</f>
        <v>32.73</v>
      </c>
      <c r="E29" s="20" cm="1">
        <f t="array" ref="E29">'Delivery Details and calculatio'!$F$27</f>
        <v>41.61</v>
      </c>
      <c r="F29" s="20" cm="1">
        <f t="array" ref="F29">'Delivery Details and calculatio'!$F$28</f>
        <v>59.38</v>
      </c>
      <c r="G29" s="20" cm="1">
        <f t="array" ref="G29">'Delivery Details and calculatio'!$F$29</f>
        <v>77.09</v>
      </c>
      <c r="H29" s="20" cm="1">
        <f t="array" ref="H29">'Delivery Details and calculatio'!$F$30</f>
        <v>94.81</v>
      </c>
    </row>
    <row r="30" ht="13.65" customHeight="1">
      <c r="A30" t="s" s="32">
        <v>93</v>
      </c>
      <c r="B30" s="33">
        <v>4</v>
      </c>
      <c r="C30" t="s" s="32">
        <v>68</v>
      </c>
      <c r="D30" s="20" cm="1">
        <f t="array" ref="D30">'Delivery Details and calculatio'!$D$26</f>
        <v>26.98</v>
      </c>
      <c r="E30" s="20" cm="1">
        <f t="array" ref="E30">'Delivery Details and calculatio'!$D$27</f>
        <v>33.77</v>
      </c>
      <c r="F30" s="20" cm="1">
        <f t="array" ref="F30">'Delivery Details and calculatio'!$D$28</f>
        <v>47.41</v>
      </c>
      <c r="G30" s="20" cm="1">
        <f t="array" ref="G30">'Delivery Details and calculatio'!$D$29</f>
        <v>60.99</v>
      </c>
      <c r="H30" s="20" cm="1">
        <f t="array" ref="H30">'Delivery Details and calculatio'!$D$30</f>
        <v>74.58</v>
      </c>
    </row>
    <row r="31" ht="13.65" customHeight="1">
      <c r="A31" t="s" s="32">
        <v>94</v>
      </c>
      <c r="B31" s="33">
        <v>5</v>
      </c>
      <c r="C31" t="s" s="32">
        <v>66</v>
      </c>
      <c r="D31" s="20" cm="1">
        <f t="array" ref="D31">'Delivery Details and calculatio'!$F$26</f>
        <v>32.73</v>
      </c>
      <c r="E31" s="20" cm="1">
        <f t="array" ref="E31">'Delivery Details and calculatio'!$F$27</f>
        <v>41.61</v>
      </c>
      <c r="F31" s="20" cm="1">
        <f t="array" ref="F31">'Delivery Details and calculatio'!$F$28</f>
        <v>59.38</v>
      </c>
      <c r="G31" s="20" cm="1">
        <f t="array" ref="G31">'Delivery Details and calculatio'!$F$29</f>
        <v>77.09</v>
      </c>
      <c r="H31" s="20" cm="1">
        <f t="array" ref="H31">'Delivery Details and calculatio'!$F$30</f>
        <v>94.81</v>
      </c>
    </row>
    <row r="32" ht="13.65" customHeight="1">
      <c r="A32" t="s" s="32">
        <v>95</v>
      </c>
      <c r="B32" s="33">
        <v>4</v>
      </c>
      <c r="C32" t="s" s="32">
        <v>68</v>
      </c>
      <c r="D32" s="20" cm="1">
        <f t="array" ref="D32">'Delivery Details and calculatio'!$D$26</f>
        <v>26.98</v>
      </c>
      <c r="E32" s="20" cm="1">
        <f t="array" ref="E32">'Delivery Details and calculatio'!$D$27</f>
        <v>33.77</v>
      </c>
      <c r="F32" s="20" cm="1">
        <f t="array" ref="F32">'Delivery Details and calculatio'!$D$28</f>
        <v>47.41</v>
      </c>
      <c r="G32" s="20" cm="1">
        <f t="array" ref="G32">'Delivery Details and calculatio'!$D$29</f>
        <v>60.99</v>
      </c>
      <c r="H32" s="20" cm="1">
        <f t="array" ref="H32">'Delivery Details and calculatio'!$D$30</f>
        <v>74.58</v>
      </c>
    </row>
    <row r="33" ht="13.65" customHeight="1">
      <c r="A33" t="s" s="32">
        <v>96</v>
      </c>
      <c r="B33" s="33">
        <v>5</v>
      </c>
      <c r="C33" t="s" s="32">
        <v>66</v>
      </c>
      <c r="D33" s="20" cm="1">
        <f t="array" ref="D33">'Delivery Details and calculatio'!$F$26</f>
        <v>32.73</v>
      </c>
      <c r="E33" s="20" cm="1">
        <f t="array" ref="E33">'Delivery Details and calculatio'!$F$27</f>
        <v>41.61</v>
      </c>
      <c r="F33" s="20" cm="1">
        <f t="array" ref="F33">'Delivery Details and calculatio'!$F$28</f>
        <v>59.38</v>
      </c>
      <c r="G33" s="20" cm="1">
        <f t="array" ref="G33">'Delivery Details and calculatio'!$F$29</f>
        <v>77.09</v>
      </c>
      <c r="H33" s="20" cm="1">
        <f t="array" ref="H33">'Delivery Details and calculatio'!$F$30</f>
        <v>94.81</v>
      </c>
    </row>
    <row r="34" ht="13.65" customHeight="1">
      <c r="A34" t="s" s="32">
        <v>97</v>
      </c>
      <c r="B34" s="33">
        <v>2</v>
      </c>
      <c r="C34" t="s" s="32">
        <v>71</v>
      </c>
      <c r="D34" s="20" cm="1">
        <f t="array" ref="D34">'Delivery Details and calculatio'!$B$26</f>
        <v>19.57</v>
      </c>
      <c r="E34" s="20" cm="1">
        <f t="array" ref="E34">'Delivery Details and calculatio'!$B$27</f>
        <v>25.51</v>
      </c>
      <c r="F34" s="20" cm="1">
        <f t="array" ref="F34">'Delivery Details and calculatio'!$B$28</f>
        <v>37.43</v>
      </c>
      <c r="G34" s="20" cm="1">
        <f t="array" ref="G34">'Delivery Details and calculatio'!$B$29</f>
        <v>49.35</v>
      </c>
      <c r="H34" s="20" cm="1">
        <f t="array" ref="H34">'Delivery Details and calculatio'!$B$30</f>
        <v>61.28</v>
      </c>
    </row>
    <row r="35" ht="13.65" customHeight="1">
      <c r="A35" t="s" s="32">
        <v>98</v>
      </c>
      <c r="B35" s="33">
        <v>4</v>
      </c>
      <c r="C35" t="s" s="32">
        <v>68</v>
      </c>
      <c r="D35" s="20" cm="1">
        <f t="array" ref="D35">'Delivery Details and calculatio'!$D$26</f>
        <v>26.98</v>
      </c>
      <c r="E35" s="20" cm="1">
        <f t="array" ref="E35">'Delivery Details and calculatio'!$D$27</f>
        <v>33.77</v>
      </c>
      <c r="F35" s="20" cm="1">
        <f t="array" ref="F35">'Delivery Details and calculatio'!$D$28</f>
        <v>47.41</v>
      </c>
      <c r="G35" s="20" cm="1">
        <f t="array" ref="G35">'Delivery Details and calculatio'!$D$29</f>
        <v>60.99</v>
      </c>
      <c r="H35" s="20" cm="1">
        <f t="array" ref="H35">'Delivery Details and calculatio'!$D$30</f>
        <v>74.58</v>
      </c>
    </row>
    <row r="36" ht="13.65" customHeight="1">
      <c r="A36" t="s" s="32">
        <v>99</v>
      </c>
      <c r="B36" s="33">
        <v>5</v>
      </c>
      <c r="C36" t="s" s="32">
        <v>66</v>
      </c>
      <c r="D36" s="20" cm="1">
        <f t="array" ref="D36">'Delivery Details and calculatio'!$F$26</f>
        <v>32.73</v>
      </c>
      <c r="E36" s="20" cm="1">
        <f t="array" ref="E36">'Delivery Details and calculatio'!$F$27</f>
        <v>41.61</v>
      </c>
      <c r="F36" s="20" cm="1">
        <f t="array" ref="F36">'Delivery Details and calculatio'!$F$28</f>
        <v>59.38</v>
      </c>
      <c r="G36" s="20" cm="1">
        <f t="array" ref="G36">'Delivery Details and calculatio'!$F$29</f>
        <v>77.09</v>
      </c>
      <c r="H36" s="20" cm="1">
        <f t="array" ref="H36">'Delivery Details and calculatio'!$F$30</f>
        <v>94.81</v>
      </c>
    </row>
    <row r="37" ht="13.65" customHeight="1">
      <c r="A37" t="s" s="32">
        <v>100</v>
      </c>
      <c r="B37" s="33">
        <v>5</v>
      </c>
      <c r="C37" t="s" s="32">
        <v>66</v>
      </c>
      <c r="D37" s="20" cm="1">
        <f t="array" ref="D37">'Delivery Details and calculatio'!$F$26</f>
        <v>32.73</v>
      </c>
      <c r="E37" s="20" cm="1">
        <f t="array" ref="E37">'Delivery Details and calculatio'!$F$27</f>
        <v>41.61</v>
      </c>
      <c r="F37" s="20" cm="1">
        <f t="array" ref="F37">'Delivery Details and calculatio'!$F$28</f>
        <v>59.38</v>
      </c>
      <c r="G37" s="20" cm="1">
        <f t="array" ref="G37">'Delivery Details and calculatio'!$F$29</f>
        <v>77.09</v>
      </c>
      <c r="H37" s="20" cm="1">
        <f t="array" ref="H37">'Delivery Details and calculatio'!$F$30</f>
        <v>94.81</v>
      </c>
    </row>
    <row r="38" ht="13.65" customHeight="1">
      <c r="A38" t="s" s="32">
        <v>101</v>
      </c>
      <c r="B38" s="33">
        <v>5</v>
      </c>
      <c r="C38" t="s" s="32">
        <v>66</v>
      </c>
      <c r="D38" s="20" cm="1">
        <f t="array" ref="D38">'Delivery Details and calculatio'!$F$26</f>
        <v>32.73</v>
      </c>
      <c r="E38" s="20" cm="1">
        <f t="array" ref="E38">'Delivery Details and calculatio'!$F$27</f>
        <v>41.61</v>
      </c>
      <c r="F38" s="20" cm="1">
        <f t="array" ref="F38">'Delivery Details and calculatio'!$F$28</f>
        <v>59.38</v>
      </c>
      <c r="G38" s="20" cm="1">
        <f t="array" ref="G38">'Delivery Details and calculatio'!$F$29</f>
        <v>77.09</v>
      </c>
      <c r="H38" s="20" cm="1">
        <f t="array" ref="H38">'Delivery Details and calculatio'!$F$30</f>
        <v>94.81</v>
      </c>
    </row>
    <row r="39" ht="13.65" customHeight="1">
      <c r="A39" t="s" s="32">
        <v>102</v>
      </c>
      <c r="B39" s="33">
        <v>2</v>
      </c>
      <c r="C39" t="s" s="32">
        <v>71</v>
      </c>
      <c r="D39" s="20" cm="1">
        <f t="array" ref="D39">'Delivery Details and calculatio'!$B$26</f>
        <v>19.57</v>
      </c>
      <c r="E39" s="20" cm="1">
        <f t="array" ref="E39">'Delivery Details and calculatio'!$B$27</f>
        <v>25.51</v>
      </c>
      <c r="F39" s="20" cm="1">
        <f t="array" ref="F39">'Delivery Details and calculatio'!$B$28</f>
        <v>37.43</v>
      </c>
      <c r="G39" s="20" cm="1">
        <f t="array" ref="G39">'Delivery Details and calculatio'!$B$29</f>
        <v>49.35</v>
      </c>
      <c r="H39" s="20" cm="1">
        <f t="array" ref="H39">'Delivery Details and calculatio'!$B$30</f>
        <v>61.28</v>
      </c>
    </row>
    <row r="40" ht="13.65" customHeight="1">
      <c r="A40" t="s" s="32">
        <v>103</v>
      </c>
      <c r="B40" s="33">
        <v>5</v>
      </c>
      <c r="C40" t="s" s="32">
        <v>66</v>
      </c>
      <c r="D40" s="20" cm="1">
        <f t="array" ref="D40">'Delivery Details and calculatio'!$F$26</f>
        <v>32.73</v>
      </c>
      <c r="E40" s="20" cm="1">
        <f t="array" ref="E40">'Delivery Details and calculatio'!$F$27</f>
        <v>41.61</v>
      </c>
      <c r="F40" s="20" cm="1">
        <f t="array" ref="F40">'Delivery Details and calculatio'!$F$28</f>
        <v>59.38</v>
      </c>
      <c r="G40" s="20" cm="1">
        <f t="array" ref="G40">'Delivery Details and calculatio'!$F$29</f>
        <v>77.09</v>
      </c>
      <c r="H40" s="20" cm="1">
        <f t="array" ref="H40">'Delivery Details and calculatio'!$F$30</f>
        <v>94.81</v>
      </c>
    </row>
    <row r="41" ht="13.65" customHeight="1">
      <c r="A41" t="s" s="32">
        <v>104</v>
      </c>
      <c r="B41" s="33">
        <v>3</v>
      </c>
      <c r="C41" t="s" s="32">
        <v>105</v>
      </c>
      <c r="D41" s="20" cm="1">
        <f t="array" ref="D41">'Delivery Details and calculatio'!$D$17</f>
        <v>21.9</v>
      </c>
      <c r="E41" s="20" cm="1">
        <f t="array" ref="E41">'Delivery Details and calculatio'!$D$18</f>
        <v>28.45</v>
      </c>
      <c r="F41" s="20" cm="1">
        <f t="array" ref="F41">'Delivery Details and calculatio'!$D$19</f>
        <v>41.42</v>
      </c>
      <c r="G41" s="20" cm="1">
        <f t="array" ref="G41">'Delivery Details and calculatio'!$D$20</f>
        <v>54.53</v>
      </c>
      <c r="H41" s="20" cm="1">
        <f t="array" ref="H41">'Delivery Details and calculatio'!$D$21</f>
        <v>67.55</v>
      </c>
    </row>
    <row r="42" ht="13.65" customHeight="1">
      <c r="A42" t="s" s="32">
        <v>106</v>
      </c>
      <c r="B42" s="33">
        <v>5</v>
      </c>
      <c r="C42" t="s" s="32">
        <v>66</v>
      </c>
      <c r="D42" s="20" cm="1">
        <f t="array" ref="D42">'Delivery Details and calculatio'!$F$26</f>
        <v>32.73</v>
      </c>
      <c r="E42" s="20" cm="1">
        <f t="array" ref="E42">'Delivery Details and calculatio'!$F$27</f>
        <v>41.61</v>
      </c>
      <c r="F42" s="20" cm="1">
        <f t="array" ref="F42">'Delivery Details and calculatio'!$F$28</f>
        <v>59.38</v>
      </c>
      <c r="G42" s="20" cm="1">
        <f t="array" ref="G42">'Delivery Details and calculatio'!$F$29</f>
        <v>77.09</v>
      </c>
      <c r="H42" s="20" cm="1">
        <f t="array" ref="H42">'Delivery Details and calculatio'!$F$30</f>
        <v>94.81</v>
      </c>
    </row>
    <row r="43" ht="13.65" customHeight="1">
      <c r="A43" t="s" s="32">
        <v>107</v>
      </c>
      <c r="B43" s="33">
        <v>5</v>
      </c>
      <c r="C43" t="s" s="32">
        <v>66</v>
      </c>
      <c r="D43" s="20" cm="1">
        <f t="array" ref="D43">'Delivery Details and calculatio'!$F$26</f>
        <v>32.73</v>
      </c>
      <c r="E43" s="20" cm="1">
        <f t="array" ref="E43">'Delivery Details and calculatio'!$F$27</f>
        <v>41.61</v>
      </c>
      <c r="F43" s="20" cm="1">
        <f t="array" ref="F43">'Delivery Details and calculatio'!$F$28</f>
        <v>59.38</v>
      </c>
      <c r="G43" s="20" cm="1">
        <f t="array" ref="G43">'Delivery Details and calculatio'!$F$29</f>
        <v>77.09</v>
      </c>
      <c r="H43" s="20" cm="1">
        <f t="array" ref="H43">'Delivery Details and calculatio'!$F$30</f>
        <v>94.81</v>
      </c>
    </row>
    <row r="44" ht="13.65" customHeight="1">
      <c r="A44" t="s" s="32">
        <v>108</v>
      </c>
      <c r="B44" s="33">
        <v>5</v>
      </c>
      <c r="C44" t="s" s="32">
        <v>66</v>
      </c>
      <c r="D44" s="20" cm="1">
        <f t="array" ref="D44">'Delivery Details and calculatio'!$F$26</f>
        <v>32.73</v>
      </c>
      <c r="E44" s="20" cm="1">
        <f t="array" ref="E44">'Delivery Details and calculatio'!$F$27</f>
        <v>41.61</v>
      </c>
      <c r="F44" s="20" cm="1">
        <f t="array" ref="F44">'Delivery Details and calculatio'!$F$28</f>
        <v>59.38</v>
      </c>
      <c r="G44" s="20" cm="1">
        <f t="array" ref="G44">'Delivery Details and calculatio'!$F$29</f>
        <v>77.09</v>
      </c>
      <c r="H44" s="20" cm="1">
        <f t="array" ref="H44">'Delivery Details and calculatio'!$F$30</f>
        <v>94.81</v>
      </c>
    </row>
    <row r="45" ht="13.65" customHeight="1">
      <c r="A45" t="s" s="32">
        <v>109</v>
      </c>
      <c r="B45" s="33">
        <v>5</v>
      </c>
      <c r="C45" t="s" s="32">
        <v>66</v>
      </c>
      <c r="D45" s="20" cm="1">
        <f t="array" ref="D45">'Delivery Details and calculatio'!$F$26</f>
        <v>32.73</v>
      </c>
      <c r="E45" s="20" cm="1">
        <f t="array" ref="E45">'Delivery Details and calculatio'!$F$27</f>
        <v>41.61</v>
      </c>
      <c r="F45" s="20" cm="1">
        <f t="array" ref="F45">'Delivery Details and calculatio'!$F$28</f>
        <v>59.38</v>
      </c>
      <c r="G45" s="20" cm="1">
        <f t="array" ref="G45">'Delivery Details and calculatio'!$F$29</f>
        <v>77.09</v>
      </c>
      <c r="H45" s="20" cm="1">
        <f t="array" ref="H45">'Delivery Details and calculatio'!$F$30</f>
        <v>94.81</v>
      </c>
    </row>
    <row r="46" ht="13.65" customHeight="1">
      <c r="A46" t="s" s="32">
        <v>110</v>
      </c>
      <c r="B46" s="33">
        <v>2</v>
      </c>
      <c r="C46" t="s" s="32">
        <v>110</v>
      </c>
      <c r="D46" s="20" cm="1">
        <f t="array" ref="D46">'Delivery Details and calculatio'!$C$17</f>
        <v>19.57</v>
      </c>
      <c r="E46" s="20" cm="1">
        <f t="array" ref="E46">'Delivery Details and calculatio'!$C$18</f>
        <v>25.51</v>
      </c>
      <c r="F46" s="20" cm="1">
        <f t="array" ref="F46">'Delivery Details and calculatio'!$C$19</f>
        <v>37.43</v>
      </c>
      <c r="G46" s="20" cm="1">
        <f t="array" ref="G46">'Delivery Details and calculatio'!$C$20</f>
        <v>49.35</v>
      </c>
      <c r="H46" s="20" cm="1">
        <f t="array" ref="H46">'Delivery Details and calculatio'!$C$21</f>
        <v>61.28</v>
      </c>
    </row>
    <row r="47" ht="13.65" customHeight="1">
      <c r="A47" t="s" s="32">
        <v>111</v>
      </c>
      <c r="B47" s="33">
        <v>5</v>
      </c>
      <c r="C47" t="s" s="32">
        <v>66</v>
      </c>
      <c r="D47" s="20" cm="1">
        <f t="array" ref="D47">'Delivery Details and calculatio'!$F$26</f>
        <v>32.73</v>
      </c>
      <c r="E47" s="20" cm="1">
        <f t="array" ref="E47">'Delivery Details and calculatio'!$F$27</f>
        <v>41.61</v>
      </c>
      <c r="F47" s="20" cm="1">
        <f t="array" ref="F47">'Delivery Details and calculatio'!$F$28</f>
        <v>59.38</v>
      </c>
      <c r="G47" s="20" cm="1">
        <f t="array" ref="G47">'Delivery Details and calculatio'!$F$29</f>
        <v>77.09</v>
      </c>
      <c r="H47" s="20" cm="1">
        <f t="array" ref="H47">'Delivery Details and calculatio'!$F$30</f>
        <v>94.81</v>
      </c>
    </row>
    <row r="48" ht="13.65" customHeight="1">
      <c r="A48" t="s" s="32">
        <v>112</v>
      </c>
      <c r="B48" s="33">
        <v>5</v>
      </c>
      <c r="C48" t="s" s="32">
        <v>66</v>
      </c>
      <c r="D48" s="20" cm="1">
        <f t="array" ref="D48">'Delivery Details and calculatio'!$F$26</f>
        <v>32.73</v>
      </c>
      <c r="E48" s="20" cm="1">
        <f t="array" ref="E48">'Delivery Details and calculatio'!$F$27</f>
        <v>41.61</v>
      </c>
      <c r="F48" s="20" cm="1">
        <f t="array" ref="F48">'Delivery Details and calculatio'!$F$28</f>
        <v>59.38</v>
      </c>
      <c r="G48" s="20" cm="1">
        <f t="array" ref="G48">'Delivery Details and calculatio'!$F$29</f>
        <v>77.09</v>
      </c>
      <c r="H48" s="20" cm="1">
        <f t="array" ref="H48">'Delivery Details and calculatio'!$F$30</f>
        <v>94.81</v>
      </c>
    </row>
    <row r="49" ht="13.65" customHeight="1">
      <c r="A49" t="s" s="32">
        <v>113</v>
      </c>
      <c r="B49" s="33">
        <v>5</v>
      </c>
      <c r="C49" t="s" s="32">
        <v>66</v>
      </c>
      <c r="D49" s="20" cm="1">
        <f t="array" ref="D49">'Delivery Details and calculatio'!$F$26</f>
        <v>32.73</v>
      </c>
      <c r="E49" s="20" cm="1">
        <f t="array" ref="E49">'Delivery Details and calculatio'!$F$27</f>
        <v>41.61</v>
      </c>
      <c r="F49" s="20" cm="1">
        <f t="array" ref="F49">'Delivery Details and calculatio'!$F$28</f>
        <v>59.38</v>
      </c>
      <c r="G49" s="20" cm="1">
        <f t="array" ref="G49">'Delivery Details and calculatio'!$F$29</f>
        <v>77.09</v>
      </c>
      <c r="H49" s="20" cm="1">
        <f t="array" ref="H49">'Delivery Details and calculatio'!$F$30</f>
        <v>94.81</v>
      </c>
    </row>
    <row r="50" ht="13.65" customHeight="1">
      <c r="A50" t="s" s="32">
        <v>114</v>
      </c>
      <c r="B50" s="33">
        <v>5</v>
      </c>
      <c r="C50" t="s" s="32">
        <v>66</v>
      </c>
      <c r="D50" s="20" cm="1">
        <f t="array" ref="D50">'Delivery Details and calculatio'!$F$26</f>
        <v>32.73</v>
      </c>
      <c r="E50" s="20" cm="1">
        <f t="array" ref="E50">'Delivery Details and calculatio'!$F$27</f>
        <v>41.61</v>
      </c>
      <c r="F50" s="20" cm="1">
        <f t="array" ref="F50">'Delivery Details and calculatio'!$F$28</f>
        <v>59.38</v>
      </c>
      <c r="G50" s="20" cm="1">
        <f t="array" ref="G50">'Delivery Details and calculatio'!$F$29</f>
        <v>77.09</v>
      </c>
      <c r="H50" s="20" cm="1">
        <f t="array" ref="H50">'Delivery Details and calculatio'!$F$30</f>
        <v>94.81</v>
      </c>
    </row>
    <row r="51" ht="13.65" customHeight="1">
      <c r="A51" t="s" s="32">
        <v>115</v>
      </c>
      <c r="B51" s="33">
        <v>2</v>
      </c>
      <c r="C51" t="s" s="32">
        <v>71</v>
      </c>
      <c r="D51" s="20" cm="1">
        <f t="array" ref="D51">'Delivery Details and calculatio'!$B$26</f>
        <v>19.57</v>
      </c>
      <c r="E51" s="20" cm="1">
        <f t="array" ref="E51">'Delivery Details and calculatio'!$B$27</f>
        <v>25.51</v>
      </c>
      <c r="F51" s="20" cm="1">
        <f t="array" ref="F51">'Delivery Details and calculatio'!$B$28</f>
        <v>37.43</v>
      </c>
      <c r="G51" s="20" cm="1">
        <f t="array" ref="G51">'Delivery Details and calculatio'!$B$29</f>
        <v>49.35</v>
      </c>
      <c r="H51" s="20" cm="1">
        <f t="array" ref="H51">'Delivery Details and calculatio'!$B$30</f>
        <v>61.28</v>
      </c>
    </row>
    <row r="52" ht="13.65" customHeight="1">
      <c r="A52" t="s" s="32">
        <v>116</v>
      </c>
      <c r="B52" s="33">
        <v>5</v>
      </c>
      <c r="C52" t="s" s="32">
        <v>66</v>
      </c>
      <c r="D52" s="20" cm="1">
        <f t="array" ref="D52">'Delivery Details and calculatio'!$F$26</f>
        <v>32.73</v>
      </c>
      <c r="E52" s="20" cm="1">
        <f t="array" ref="E52">'Delivery Details and calculatio'!$F$27</f>
        <v>41.61</v>
      </c>
      <c r="F52" s="20" cm="1">
        <f t="array" ref="F52">'Delivery Details and calculatio'!$F$28</f>
        <v>59.38</v>
      </c>
      <c r="G52" s="20" cm="1">
        <f t="array" ref="G52">'Delivery Details and calculatio'!$F$29</f>
        <v>77.09</v>
      </c>
      <c r="H52" s="20" cm="1">
        <f t="array" ref="H52">'Delivery Details and calculatio'!$F$30</f>
        <v>94.81</v>
      </c>
    </row>
    <row r="53" ht="13.65" customHeight="1">
      <c r="A53" t="s" s="32">
        <v>117</v>
      </c>
      <c r="B53" s="33">
        <v>5</v>
      </c>
      <c r="C53" t="s" s="32">
        <v>66</v>
      </c>
      <c r="D53" s="20" cm="1">
        <f t="array" ref="D53">'Delivery Details and calculatio'!$F$26</f>
        <v>32.73</v>
      </c>
      <c r="E53" s="20" cm="1">
        <f t="array" ref="E53">'Delivery Details and calculatio'!$F$27</f>
        <v>41.61</v>
      </c>
      <c r="F53" s="20" cm="1">
        <f t="array" ref="F53">'Delivery Details and calculatio'!$F$28</f>
        <v>59.38</v>
      </c>
      <c r="G53" s="20" cm="1">
        <f t="array" ref="G53">'Delivery Details and calculatio'!$F$29</f>
        <v>77.09</v>
      </c>
      <c r="H53" s="20" cm="1">
        <f t="array" ref="H53">'Delivery Details and calculatio'!$F$30</f>
        <v>94.81</v>
      </c>
    </row>
    <row r="54" ht="13.65" customHeight="1">
      <c r="A54" t="s" s="32">
        <v>118</v>
      </c>
      <c r="B54" s="33">
        <v>4</v>
      </c>
      <c r="C54" t="s" s="32">
        <v>68</v>
      </c>
      <c r="D54" s="20" cm="1">
        <f t="array" ref="D54">'Delivery Details and calculatio'!$D$26</f>
        <v>26.98</v>
      </c>
      <c r="E54" s="20" cm="1">
        <f t="array" ref="E54">'Delivery Details and calculatio'!$D$27</f>
        <v>33.77</v>
      </c>
      <c r="F54" s="20" cm="1">
        <f t="array" ref="F54">'Delivery Details and calculatio'!$D$28</f>
        <v>47.41</v>
      </c>
      <c r="G54" s="20" cm="1">
        <f t="array" ref="G54">'Delivery Details and calculatio'!$D$29</f>
        <v>60.99</v>
      </c>
      <c r="H54" s="20" cm="1">
        <f t="array" ref="H54">'Delivery Details and calculatio'!$D$30</f>
        <v>74.58</v>
      </c>
    </row>
    <row r="55" ht="13.65" customHeight="1">
      <c r="A55" t="s" s="32">
        <v>119</v>
      </c>
      <c r="B55" s="33">
        <v>5</v>
      </c>
      <c r="C55" t="s" s="32">
        <v>66</v>
      </c>
      <c r="D55" s="20" cm="1">
        <f t="array" ref="D55">'Delivery Details and calculatio'!$F$26</f>
        <v>32.73</v>
      </c>
      <c r="E55" s="20" cm="1">
        <f t="array" ref="E55">'Delivery Details and calculatio'!$F$27</f>
        <v>41.61</v>
      </c>
      <c r="F55" s="20" cm="1">
        <f t="array" ref="F55">'Delivery Details and calculatio'!$F$28</f>
        <v>59.38</v>
      </c>
      <c r="G55" s="20" cm="1">
        <f t="array" ref="G55">'Delivery Details and calculatio'!$F$29</f>
        <v>77.09</v>
      </c>
      <c r="H55" s="20" cm="1">
        <f t="array" ref="H55">'Delivery Details and calculatio'!$F$30</f>
        <v>94.81</v>
      </c>
    </row>
    <row r="56" ht="13.65" customHeight="1">
      <c r="A56" t="s" s="32">
        <v>120</v>
      </c>
      <c r="B56" s="33">
        <v>5</v>
      </c>
      <c r="C56" t="s" s="32">
        <v>66</v>
      </c>
      <c r="D56" s="20" cm="1">
        <f t="array" ref="D56">'Delivery Details and calculatio'!$F$26</f>
        <v>32.73</v>
      </c>
      <c r="E56" s="20" cm="1">
        <f t="array" ref="E56">'Delivery Details and calculatio'!$F$27</f>
        <v>41.61</v>
      </c>
      <c r="F56" s="20" cm="1">
        <f t="array" ref="F56">'Delivery Details and calculatio'!$F$28</f>
        <v>59.38</v>
      </c>
      <c r="G56" s="20" cm="1">
        <f t="array" ref="G56">'Delivery Details and calculatio'!$F$29</f>
        <v>77.09</v>
      </c>
      <c r="H56" s="20" cm="1">
        <f t="array" ref="H56">'Delivery Details and calculatio'!$F$30</f>
        <v>94.81</v>
      </c>
    </row>
    <row r="57" ht="13.65" customHeight="1">
      <c r="A57" t="s" s="32">
        <v>121</v>
      </c>
      <c r="B57" s="33">
        <v>4</v>
      </c>
      <c r="C57" t="s" s="32">
        <v>68</v>
      </c>
      <c r="D57" s="20" cm="1">
        <f t="array" ref="D57">'Delivery Details and calculatio'!$D$26</f>
        <v>26.98</v>
      </c>
      <c r="E57" s="20" cm="1">
        <f t="array" ref="E57">'Delivery Details and calculatio'!$D$27</f>
        <v>33.77</v>
      </c>
      <c r="F57" s="20" cm="1">
        <f t="array" ref="F57">'Delivery Details and calculatio'!$D$28</f>
        <v>47.41</v>
      </c>
      <c r="G57" s="20" cm="1">
        <f t="array" ref="G57">'Delivery Details and calculatio'!$D$29</f>
        <v>60.99</v>
      </c>
      <c r="H57" s="20" cm="1">
        <f t="array" ref="H57">'Delivery Details and calculatio'!$D$30</f>
        <v>74.58</v>
      </c>
    </row>
    <row r="58" ht="13.65" customHeight="1">
      <c r="A58" t="s" s="32">
        <v>122</v>
      </c>
      <c r="B58" s="33">
        <v>4</v>
      </c>
      <c r="C58" t="s" s="32">
        <v>68</v>
      </c>
      <c r="D58" s="20" cm="1">
        <f t="array" ref="D58">'Delivery Details and calculatio'!$D$26</f>
        <v>26.98</v>
      </c>
      <c r="E58" s="20" cm="1">
        <f t="array" ref="E58">'Delivery Details and calculatio'!$D$27</f>
        <v>33.77</v>
      </c>
      <c r="F58" s="20" cm="1">
        <f t="array" ref="F58">'Delivery Details and calculatio'!$D$28</f>
        <v>47.41</v>
      </c>
      <c r="G58" s="20" cm="1">
        <f t="array" ref="G58">'Delivery Details and calculatio'!$D$29</f>
        <v>60.99</v>
      </c>
      <c r="H58" s="20" cm="1">
        <f t="array" ref="H58">'Delivery Details and calculatio'!$D$30</f>
        <v>74.58</v>
      </c>
    </row>
    <row r="59" ht="13.65" customHeight="1">
      <c r="A59" t="s" s="32">
        <v>123</v>
      </c>
      <c r="B59" s="33">
        <v>4</v>
      </c>
      <c r="C59" t="s" s="32">
        <v>68</v>
      </c>
      <c r="D59" s="20" cm="1">
        <f t="array" ref="D59">'Delivery Details and calculatio'!$D$26</f>
        <v>26.98</v>
      </c>
      <c r="E59" s="20" cm="1">
        <f t="array" ref="E59">'Delivery Details and calculatio'!$D$27</f>
        <v>33.77</v>
      </c>
      <c r="F59" s="20" cm="1">
        <f t="array" ref="F59">'Delivery Details and calculatio'!$D$28</f>
        <v>47.41</v>
      </c>
      <c r="G59" s="20" cm="1">
        <f t="array" ref="G59">'Delivery Details and calculatio'!$D$29</f>
        <v>60.99</v>
      </c>
      <c r="H59" s="20" cm="1">
        <f t="array" ref="H59">'Delivery Details and calculatio'!$D$30</f>
        <v>74.58</v>
      </c>
    </row>
    <row r="60" ht="13.65" customHeight="1">
      <c r="A60" t="s" s="32">
        <v>124</v>
      </c>
      <c r="B60" s="33">
        <v>5</v>
      </c>
      <c r="C60" t="s" s="32">
        <v>66</v>
      </c>
      <c r="D60" s="20" cm="1">
        <f t="array" ref="D60">'Delivery Details and calculatio'!$F$26</f>
        <v>32.73</v>
      </c>
      <c r="E60" s="20" cm="1">
        <f t="array" ref="E60">'Delivery Details and calculatio'!$F$27</f>
        <v>41.61</v>
      </c>
      <c r="F60" s="20" cm="1">
        <f t="array" ref="F60">'Delivery Details and calculatio'!$F$28</f>
        <v>59.38</v>
      </c>
      <c r="G60" s="20" cm="1">
        <f t="array" ref="G60">'Delivery Details and calculatio'!$F$29</f>
        <v>77.09</v>
      </c>
      <c r="H60" s="20" cm="1">
        <f t="array" ref="H60">'Delivery Details and calculatio'!$F$30</f>
        <v>94.81</v>
      </c>
    </row>
    <row r="61" ht="13.65" customHeight="1">
      <c r="A61" t="s" s="32">
        <v>125</v>
      </c>
      <c r="B61" s="33">
        <v>5</v>
      </c>
      <c r="C61" t="s" s="32">
        <v>66</v>
      </c>
      <c r="D61" s="20" cm="1">
        <f t="array" ref="D61">'Delivery Details and calculatio'!$F$26</f>
        <v>32.73</v>
      </c>
      <c r="E61" s="20" cm="1">
        <f t="array" ref="E61">'Delivery Details and calculatio'!$F$27</f>
        <v>41.61</v>
      </c>
      <c r="F61" s="20" cm="1">
        <f t="array" ref="F61">'Delivery Details and calculatio'!$F$28</f>
        <v>59.38</v>
      </c>
      <c r="G61" s="20" cm="1">
        <f t="array" ref="G61">'Delivery Details and calculatio'!$F$29</f>
        <v>77.09</v>
      </c>
      <c r="H61" s="20" cm="1">
        <f t="array" ref="H61">'Delivery Details and calculatio'!$F$30</f>
        <v>94.81</v>
      </c>
    </row>
    <row r="62" ht="13.65" customHeight="1">
      <c r="A62" t="s" s="32">
        <v>126</v>
      </c>
      <c r="B62" s="33">
        <v>5</v>
      </c>
      <c r="C62" t="s" s="32">
        <v>66</v>
      </c>
      <c r="D62" s="20" cm="1">
        <f t="array" ref="D62">'Delivery Details and calculatio'!$F$26</f>
        <v>32.73</v>
      </c>
      <c r="E62" s="20" cm="1">
        <f t="array" ref="E62">'Delivery Details and calculatio'!$F$27</f>
        <v>41.61</v>
      </c>
      <c r="F62" s="20" cm="1">
        <f t="array" ref="F62">'Delivery Details and calculatio'!$F$28</f>
        <v>59.38</v>
      </c>
      <c r="G62" s="20" cm="1">
        <f t="array" ref="G62">'Delivery Details and calculatio'!$F$29</f>
        <v>77.09</v>
      </c>
      <c r="H62" s="20" cm="1">
        <f t="array" ref="H62">'Delivery Details and calculatio'!$F$30</f>
        <v>94.81</v>
      </c>
    </row>
    <row r="63" ht="13.65" customHeight="1">
      <c r="A63" t="s" s="32">
        <v>127</v>
      </c>
      <c r="B63" s="33">
        <v>5</v>
      </c>
      <c r="C63" t="s" s="32">
        <v>66</v>
      </c>
      <c r="D63" s="20" cm="1">
        <f t="array" ref="D63">'Delivery Details and calculatio'!$F$26</f>
        <v>32.73</v>
      </c>
      <c r="E63" s="20" cm="1">
        <f t="array" ref="E63">'Delivery Details and calculatio'!$F$27</f>
        <v>41.61</v>
      </c>
      <c r="F63" s="20" cm="1">
        <f t="array" ref="F63">'Delivery Details and calculatio'!$F$28</f>
        <v>59.38</v>
      </c>
      <c r="G63" s="20" cm="1">
        <f t="array" ref="G63">'Delivery Details and calculatio'!$F$29</f>
        <v>77.09</v>
      </c>
      <c r="H63" s="20" cm="1">
        <f t="array" ref="H63">'Delivery Details and calculatio'!$F$30</f>
        <v>94.81</v>
      </c>
    </row>
    <row r="64" ht="13.65" customHeight="1">
      <c r="A64" t="s" s="32">
        <v>128</v>
      </c>
      <c r="B64" s="33">
        <v>5</v>
      </c>
      <c r="C64" t="s" s="32">
        <v>66</v>
      </c>
      <c r="D64" s="20" cm="1">
        <f t="array" ref="D64">'Delivery Details and calculatio'!$F$26</f>
        <v>32.73</v>
      </c>
      <c r="E64" s="20" cm="1">
        <f t="array" ref="E64">'Delivery Details and calculatio'!$F$27</f>
        <v>41.61</v>
      </c>
      <c r="F64" s="20" cm="1">
        <f t="array" ref="F64">'Delivery Details and calculatio'!$F$28</f>
        <v>59.38</v>
      </c>
      <c r="G64" s="20" cm="1">
        <f t="array" ref="G64">'Delivery Details and calculatio'!$F$29</f>
        <v>77.09</v>
      </c>
      <c r="H64" s="20" cm="1">
        <f t="array" ref="H64">'Delivery Details and calculatio'!$F$30</f>
        <v>94.81</v>
      </c>
    </row>
    <row r="65" ht="13.65" customHeight="1">
      <c r="A65" t="s" s="32">
        <v>129</v>
      </c>
      <c r="B65" s="33">
        <v>5</v>
      </c>
      <c r="C65" t="s" s="32">
        <v>66</v>
      </c>
      <c r="D65" s="20" cm="1">
        <f t="array" ref="D65">'Delivery Details and calculatio'!$F$26</f>
        <v>32.73</v>
      </c>
      <c r="E65" s="20" cm="1">
        <f t="array" ref="E65">'Delivery Details and calculatio'!$F$27</f>
        <v>41.61</v>
      </c>
      <c r="F65" s="20" cm="1">
        <f t="array" ref="F65">'Delivery Details and calculatio'!$F$28</f>
        <v>59.38</v>
      </c>
      <c r="G65" s="20" cm="1">
        <f t="array" ref="G65">'Delivery Details and calculatio'!$F$29</f>
        <v>77.09</v>
      </c>
      <c r="H65" s="20" cm="1">
        <f t="array" ref="H65">'Delivery Details and calculatio'!$F$30</f>
        <v>94.81</v>
      </c>
    </row>
    <row r="66" ht="13.65" customHeight="1">
      <c r="A66" t="s" s="32">
        <v>130</v>
      </c>
      <c r="B66" s="33">
        <v>5</v>
      </c>
      <c r="C66" t="s" s="32">
        <v>66</v>
      </c>
      <c r="D66" s="20" cm="1">
        <f t="array" ref="D66">'Delivery Details and calculatio'!$F$26</f>
        <v>32.73</v>
      </c>
      <c r="E66" s="20" cm="1">
        <f t="array" ref="E66">'Delivery Details and calculatio'!$F$27</f>
        <v>41.61</v>
      </c>
      <c r="F66" s="20" cm="1">
        <f t="array" ref="F66">'Delivery Details and calculatio'!$F$28</f>
        <v>59.38</v>
      </c>
      <c r="G66" s="20" cm="1">
        <f t="array" ref="G66">'Delivery Details and calculatio'!$F$29</f>
        <v>77.09</v>
      </c>
      <c r="H66" s="20" cm="1">
        <f t="array" ref="H66">'Delivery Details and calculatio'!$F$30</f>
        <v>94.81</v>
      </c>
    </row>
    <row r="67" ht="13.65" customHeight="1">
      <c r="A67" t="s" s="32">
        <v>131</v>
      </c>
      <c r="B67" s="33">
        <v>5</v>
      </c>
      <c r="C67" t="s" s="32">
        <v>66</v>
      </c>
      <c r="D67" s="20" cm="1">
        <f t="array" ref="D67">'Delivery Details and calculatio'!$F$26</f>
        <v>32.73</v>
      </c>
      <c r="E67" s="20" cm="1">
        <f t="array" ref="E67">'Delivery Details and calculatio'!$F$27</f>
        <v>41.61</v>
      </c>
      <c r="F67" s="20" cm="1">
        <f t="array" ref="F67">'Delivery Details and calculatio'!$F$28</f>
        <v>59.38</v>
      </c>
      <c r="G67" s="20" cm="1">
        <f t="array" ref="G67">'Delivery Details and calculatio'!$F$29</f>
        <v>77.09</v>
      </c>
      <c r="H67" s="20" cm="1">
        <f t="array" ref="H67">'Delivery Details and calculatio'!$F$30</f>
        <v>94.81</v>
      </c>
    </row>
    <row r="68" ht="13.65" customHeight="1">
      <c r="A68" t="s" s="32">
        <v>132</v>
      </c>
      <c r="B68" s="33">
        <v>4</v>
      </c>
      <c r="C68" t="s" s="32">
        <v>68</v>
      </c>
      <c r="D68" s="20" cm="1">
        <f t="array" ref="D68">'Delivery Details and calculatio'!$D$26</f>
        <v>26.98</v>
      </c>
      <c r="E68" s="20" cm="1">
        <f t="array" ref="E68">'Delivery Details and calculatio'!$D$27</f>
        <v>33.77</v>
      </c>
      <c r="F68" s="20" cm="1">
        <f t="array" ref="F68">'Delivery Details and calculatio'!$D$28</f>
        <v>47.41</v>
      </c>
      <c r="G68" s="20" cm="1">
        <f t="array" ref="G68">'Delivery Details and calculatio'!$D$29</f>
        <v>60.99</v>
      </c>
      <c r="H68" s="20" cm="1">
        <f t="array" ref="H68">'Delivery Details and calculatio'!$D$30</f>
        <v>74.58</v>
      </c>
    </row>
    <row r="69" ht="13.65" customHeight="1">
      <c r="A69" t="s" s="32">
        <v>133</v>
      </c>
      <c r="B69" s="33">
        <v>5</v>
      </c>
      <c r="C69" t="s" s="32">
        <v>66</v>
      </c>
      <c r="D69" s="20" cm="1">
        <f t="array" ref="D69">'Delivery Details and calculatio'!$F$26</f>
        <v>32.73</v>
      </c>
      <c r="E69" s="20" cm="1">
        <f t="array" ref="E69">'Delivery Details and calculatio'!$F$27</f>
        <v>41.61</v>
      </c>
      <c r="F69" s="20" cm="1">
        <f t="array" ref="F69">'Delivery Details and calculatio'!$F$28</f>
        <v>59.38</v>
      </c>
      <c r="G69" s="20" cm="1">
        <f t="array" ref="G69">'Delivery Details and calculatio'!$F$29</f>
        <v>77.09</v>
      </c>
      <c r="H69" s="20" cm="1">
        <f t="array" ref="H69">'Delivery Details and calculatio'!$F$30</f>
        <v>94.81</v>
      </c>
    </row>
    <row r="70" ht="13.65" customHeight="1">
      <c r="A70" t="s" s="32">
        <v>134</v>
      </c>
      <c r="B70" s="33">
        <v>5</v>
      </c>
      <c r="C70" t="s" s="32">
        <v>66</v>
      </c>
      <c r="D70" s="20" cm="1">
        <f t="array" ref="D70">'Delivery Details and calculatio'!$F$26</f>
        <v>32.73</v>
      </c>
      <c r="E70" s="20" cm="1">
        <f t="array" ref="E70">'Delivery Details and calculatio'!$F$27</f>
        <v>41.61</v>
      </c>
      <c r="F70" s="20" cm="1">
        <f t="array" ref="F70">'Delivery Details and calculatio'!$F$28</f>
        <v>59.38</v>
      </c>
      <c r="G70" s="20" cm="1">
        <f t="array" ref="G70">'Delivery Details and calculatio'!$F$29</f>
        <v>77.09</v>
      </c>
      <c r="H70" s="20" cm="1">
        <f t="array" ref="H70">'Delivery Details and calculatio'!$F$30</f>
        <v>94.81</v>
      </c>
    </row>
    <row r="71" ht="13.65" customHeight="1">
      <c r="A71" t="s" s="32">
        <v>135</v>
      </c>
      <c r="B71" s="33">
        <v>5</v>
      </c>
      <c r="C71" t="s" s="32">
        <v>66</v>
      </c>
      <c r="D71" s="20" cm="1">
        <f t="array" ref="D71">'Delivery Details and calculatio'!$F$26</f>
        <v>32.73</v>
      </c>
      <c r="E71" s="20" cm="1">
        <f t="array" ref="E71">'Delivery Details and calculatio'!$F$27</f>
        <v>41.61</v>
      </c>
      <c r="F71" s="20" cm="1">
        <f t="array" ref="F71">'Delivery Details and calculatio'!$F$28</f>
        <v>59.38</v>
      </c>
      <c r="G71" s="20" cm="1">
        <f t="array" ref="G71">'Delivery Details and calculatio'!$F$29</f>
        <v>77.09</v>
      </c>
      <c r="H71" s="20" cm="1">
        <f t="array" ref="H71">'Delivery Details and calculatio'!$F$30</f>
        <v>94.81</v>
      </c>
    </row>
    <row r="72" ht="13.65" customHeight="1">
      <c r="A72" t="s" s="32">
        <v>136</v>
      </c>
      <c r="B72" s="33">
        <v>5</v>
      </c>
      <c r="C72" t="s" s="32">
        <v>66</v>
      </c>
      <c r="D72" s="20" cm="1">
        <f t="array" ref="D72">'Delivery Details and calculatio'!$F$26</f>
        <v>32.73</v>
      </c>
      <c r="E72" s="20" cm="1">
        <f t="array" ref="E72">'Delivery Details and calculatio'!$F$27</f>
        <v>41.61</v>
      </c>
      <c r="F72" s="20" cm="1">
        <f t="array" ref="F72">'Delivery Details and calculatio'!$F$28</f>
        <v>59.38</v>
      </c>
      <c r="G72" s="20" cm="1">
        <f t="array" ref="G72">'Delivery Details and calculatio'!$F$29</f>
        <v>77.09</v>
      </c>
      <c r="H72" s="20" cm="1">
        <f t="array" ref="H72">'Delivery Details and calculatio'!$F$30</f>
        <v>94.81</v>
      </c>
    </row>
    <row r="73" ht="13.65" customHeight="1">
      <c r="A73" t="s" s="32">
        <v>137</v>
      </c>
      <c r="B73" s="33">
        <v>2</v>
      </c>
      <c r="C73" t="s" s="32">
        <v>71</v>
      </c>
      <c r="D73" s="20" cm="1">
        <f t="array" ref="D73">'Delivery Details and calculatio'!$B$26</f>
        <v>19.57</v>
      </c>
      <c r="E73" s="20" cm="1">
        <f t="array" ref="E73">'Delivery Details and calculatio'!$B$27</f>
        <v>25.51</v>
      </c>
      <c r="F73" s="20" cm="1">
        <f t="array" ref="F73">'Delivery Details and calculatio'!$B$28</f>
        <v>37.43</v>
      </c>
      <c r="G73" s="20" cm="1">
        <f t="array" ref="G73">'Delivery Details and calculatio'!$B$29</f>
        <v>49.35</v>
      </c>
      <c r="H73" s="20" cm="1">
        <f t="array" ref="H73">'Delivery Details and calculatio'!$B$30</f>
        <v>61.28</v>
      </c>
    </row>
    <row r="74" ht="13.65" customHeight="1">
      <c r="A74" t="s" s="32">
        <v>138</v>
      </c>
      <c r="B74" s="33">
        <v>4</v>
      </c>
      <c r="C74" t="s" s="32">
        <v>68</v>
      </c>
      <c r="D74" s="20" cm="1">
        <f t="array" ref="D74">'Delivery Details and calculatio'!$D$26</f>
        <v>26.98</v>
      </c>
      <c r="E74" s="20" cm="1">
        <f t="array" ref="E74">'Delivery Details and calculatio'!$D$27</f>
        <v>33.77</v>
      </c>
      <c r="F74" s="20" cm="1">
        <f t="array" ref="F74">'Delivery Details and calculatio'!$D$28</f>
        <v>47.41</v>
      </c>
      <c r="G74" s="20" cm="1">
        <f t="array" ref="G74">'Delivery Details and calculatio'!$D$29</f>
        <v>60.99</v>
      </c>
      <c r="H74" s="20" cm="1">
        <f t="array" ref="H74">'Delivery Details and calculatio'!$D$30</f>
        <v>74.58</v>
      </c>
    </row>
    <row r="75" ht="13.65" customHeight="1">
      <c r="A75" t="s" s="32">
        <v>139</v>
      </c>
      <c r="B75" s="33">
        <v>4</v>
      </c>
      <c r="C75" t="s" s="32">
        <v>68</v>
      </c>
      <c r="D75" s="20" cm="1">
        <f t="array" ref="D75">'Delivery Details and calculatio'!$D$26</f>
        <v>26.98</v>
      </c>
      <c r="E75" s="20" cm="1">
        <f t="array" ref="E75">'Delivery Details and calculatio'!$D$27</f>
        <v>33.77</v>
      </c>
      <c r="F75" s="20" cm="1">
        <f t="array" ref="F75">'Delivery Details and calculatio'!$D$28</f>
        <v>47.41</v>
      </c>
      <c r="G75" s="20" cm="1">
        <f t="array" ref="G75">'Delivery Details and calculatio'!$D$29</f>
        <v>60.99</v>
      </c>
      <c r="H75" s="20" cm="1">
        <f t="array" ref="H75">'Delivery Details and calculatio'!$D$30</f>
        <v>74.58</v>
      </c>
    </row>
    <row r="76" ht="13.65" customHeight="1">
      <c r="A76" t="s" s="32">
        <v>140</v>
      </c>
      <c r="B76" s="33">
        <v>5</v>
      </c>
      <c r="C76" t="s" s="32">
        <v>66</v>
      </c>
      <c r="D76" s="20" cm="1">
        <f t="array" ref="D76">'Delivery Details and calculatio'!$F$26</f>
        <v>32.73</v>
      </c>
      <c r="E76" s="20" cm="1">
        <f t="array" ref="E76">'Delivery Details and calculatio'!$F$27</f>
        <v>41.61</v>
      </c>
      <c r="F76" s="20" cm="1">
        <f t="array" ref="F76">'Delivery Details and calculatio'!$F$28</f>
        <v>59.38</v>
      </c>
      <c r="G76" s="20" cm="1">
        <f t="array" ref="G76">'Delivery Details and calculatio'!$F$29</f>
        <v>77.09</v>
      </c>
      <c r="H76" s="20" cm="1">
        <f t="array" ref="H76">'Delivery Details and calculatio'!$F$30</f>
        <v>94.81</v>
      </c>
    </row>
    <row r="77" ht="13.65" customHeight="1">
      <c r="A77" t="s" s="32">
        <v>141</v>
      </c>
      <c r="B77" s="33">
        <v>2</v>
      </c>
      <c r="C77" t="s" s="32">
        <v>71</v>
      </c>
      <c r="D77" s="20" cm="1">
        <f t="array" ref="D77">'Delivery Details and calculatio'!$B$26</f>
        <v>19.57</v>
      </c>
      <c r="E77" s="20" cm="1">
        <f t="array" ref="E77">'Delivery Details and calculatio'!$B$27</f>
        <v>25.51</v>
      </c>
      <c r="F77" s="20" cm="1">
        <f t="array" ref="F77">'Delivery Details and calculatio'!$B$28</f>
        <v>37.43</v>
      </c>
      <c r="G77" s="20" cm="1">
        <f t="array" ref="G77">'Delivery Details and calculatio'!$B$29</f>
        <v>49.35</v>
      </c>
      <c r="H77" s="20" cm="1">
        <f t="array" ref="H77">'Delivery Details and calculatio'!$B$30</f>
        <v>61.28</v>
      </c>
    </row>
    <row r="78" ht="13.65" customHeight="1">
      <c r="A78" t="s" s="32">
        <v>142</v>
      </c>
      <c r="B78" s="33">
        <v>5</v>
      </c>
      <c r="C78" t="s" s="32">
        <v>66</v>
      </c>
      <c r="D78" s="20" cm="1">
        <f t="array" ref="D78">'Delivery Details and calculatio'!$F$26</f>
        <v>32.73</v>
      </c>
      <c r="E78" s="20" cm="1">
        <f t="array" ref="E78">'Delivery Details and calculatio'!$F$27</f>
        <v>41.61</v>
      </c>
      <c r="F78" s="20" cm="1">
        <f t="array" ref="F78">'Delivery Details and calculatio'!$F$28</f>
        <v>59.38</v>
      </c>
      <c r="G78" s="20" cm="1">
        <f t="array" ref="G78">'Delivery Details and calculatio'!$F$29</f>
        <v>77.09</v>
      </c>
      <c r="H78" s="20" cm="1">
        <f t="array" ref="H78">'Delivery Details and calculatio'!$F$30</f>
        <v>94.81</v>
      </c>
    </row>
    <row r="79" ht="13.65" customHeight="1">
      <c r="A79" t="s" s="32">
        <v>143</v>
      </c>
      <c r="B79" s="33">
        <v>5</v>
      </c>
      <c r="C79" t="s" s="32">
        <v>66</v>
      </c>
      <c r="D79" s="20" cm="1">
        <f t="array" ref="D79">'Delivery Details and calculatio'!$F$26</f>
        <v>32.73</v>
      </c>
      <c r="E79" s="20" cm="1">
        <f t="array" ref="E79">'Delivery Details and calculatio'!$F$27</f>
        <v>41.61</v>
      </c>
      <c r="F79" s="20" cm="1">
        <f t="array" ref="F79">'Delivery Details and calculatio'!$F$28</f>
        <v>59.38</v>
      </c>
      <c r="G79" s="20" cm="1">
        <f t="array" ref="G79">'Delivery Details and calculatio'!$F$29</f>
        <v>77.09</v>
      </c>
      <c r="H79" s="20" cm="1">
        <f t="array" ref="H79">'Delivery Details and calculatio'!$F$30</f>
        <v>94.81</v>
      </c>
    </row>
    <row r="80" ht="13.65" customHeight="1">
      <c r="A80" t="s" s="32">
        <v>144</v>
      </c>
      <c r="B80" s="33">
        <v>5</v>
      </c>
      <c r="C80" t="s" s="32">
        <v>66</v>
      </c>
      <c r="D80" s="20" cm="1">
        <f t="array" ref="D80">'Delivery Details and calculatio'!$F$26</f>
        <v>32.73</v>
      </c>
      <c r="E80" s="20" cm="1">
        <f t="array" ref="E80">'Delivery Details and calculatio'!$F$27</f>
        <v>41.61</v>
      </c>
      <c r="F80" s="20" cm="1">
        <f t="array" ref="F80">'Delivery Details and calculatio'!$F$28</f>
        <v>59.38</v>
      </c>
      <c r="G80" s="20" cm="1">
        <f t="array" ref="G80">'Delivery Details and calculatio'!$F$29</f>
        <v>77.09</v>
      </c>
      <c r="H80" s="20" cm="1">
        <f t="array" ref="H80">'Delivery Details and calculatio'!$F$30</f>
        <v>94.81</v>
      </c>
    </row>
    <row r="81" ht="13.65" customHeight="1">
      <c r="A81" t="s" s="32">
        <v>145</v>
      </c>
      <c r="B81" s="33">
        <v>4</v>
      </c>
      <c r="C81" t="s" s="32">
        <v>68</v>
      </c>
      <c r="D81" s="20" cm="1">
        <f t="array" ref="D81">'Delivery Details and calculatio'!$D$26</f>
        <v>26.98</v>
      </c>
      <c r="E81" s="20" cm="1">
        <f t="array" ref="E81">'Delivery Details and calculatio'!$D$27</f>
        <v>33.77</v>
      </c>
      <c r="F81" s="20" cm="1">
        <f t="array" ref="F81">'Delivery Details and calculatio'!$D$28</f>
        <v>47.41</v>
      </c>
      <c r="G81" s="20" cm="1">
        <f t="array" ref="G81">'Delivery Details and calculatio'!$D$29</f>
        <v>60.99</v>
      </c>
      <c r="H81" s="20" cm="1">
        <f t="array" ref="H81">'Delivery Details and calculatio'!$D$30</f>
        <v>74.58</v>
      </c>
    </row>
    <row r="82" ht="13.65" customHeight="1">
      <c r="A82" t="s" s="32">
        <v>146</v>
      </c>
      <c r="B82" s="33">
        <v>5</v>
      </c>
      <c r="C82" t="s" s="32">
        <v>66</v>
      </c>
      <c r="D82" s="20" cm="1">
        <f t="array" ref="D82">'Delivery Details and calculatio'!$F$26</f>
        <v>32.73</v>
      </c>
      <c r="E82" s="20" cm="1">
        <f t="array" ref="E82">'Delivery Details and calculatio'!$F$27</f>
        <v>41.61</v>
      </c>
      <c r="F82" s="20" cm="1">
        <f t="array" ref="F82">'Delivery Details and calculatio'!$F$28</f>
        <v>59.38</v>
      </c>
      <c r="G82" s="20" cm="1">
        <f t="array" ref="G82">'Delivery Details and calculatio'!$F$29</f>
        <v>77.09</v>
      </c>
      <c r="H82" s="20" cm="1">
        <f t="array" ref="H82">'Delivery Details and calculatio'!$F$30</f>
        <v>94.81</v>
      </c>
    </row>
    <row r="83" ht="13.65" customHeight="1">
      <c r="A83" t="s" s="32">
        <v>147</v>
      </c>
      <c r="B83" s="33">
        <v>5</v>
      </c>
      <c r="C83" t="s" s="32">
        <v>66</v>
      </c>
      <c r="D83" s="20" cm="1">
        <f t="array" ref="D83">'Delivery Details and calculatio'!$F$26</f>
        <v>32.73</v>
      </c>
      <c r="E83" s="20" cm="1">
        <f t="array" ref="E83">'Delivery Details and calculatio'!$F$27</f>
        <v>41.61</v>
      </c>
      <c r="F83" s="20" cm="1">
        <f t="array" ref="F83">'Delivery Details and calculatio'!$F$28</f>
        <v>59.38</v>
      </c>
      <c r="G83" s="20" cm="1">
        <f t="array" ref="G83">'Delivery Details and calculatio'!$F$29</f>
        <v>77.09</v>
      </c>
      <c r="H83" s="20" cm="1">
        <f t="array" ref="H83">'Delivery Details and calculatio'!$F$30</f>
        <v>94.81</v>
      </c>
    </row>
    <row r="84" ht="13.65" customHeight="1">
      <c r="A84" t="s" s="32">
        <v>148</v>
      </c>
      <c r="B84" s="33">
        <v>4</v>
      </c>
      <c r="C84" t="s" s="32">
        <v>68</v>
      </c>
      <c r="D84" s="20" cm="1">
        <f t="array" ref="D84">'Delivery Details and calculatio'!$D$26</f>
        <v>26.98</v>
      </c>
      <c r="E84" s="20" cm="1">
        <f t="array" ref="E84">'Delivery Details and calculatio'!$D$27</f>
        <v>33.77</v>
      </c>
      <c r="F84" s="20" cm="1">
        <f t="array" ref="F84">'Delivery Details and calculatio'!$D$28</f>
        <v>47.41</v>
      </c>
      <c r="G84" s="20" cm="1">
        <f t="array" ref="G84">'Delivery Details and calculatio'!$D$29</f>
        <v>60.99</v>
      </c>
      <c r="H84" s="20" cm="1">
        <f t="array" ref="H84">'Delivery Details and calculatio'!$D$30</f>
        <v>74.58</v>
      </c>
    </row>
    <row r="85" ht="13.65" customHeight="1">
      <c r="A85" t="s" s="32">
        <v>149</v>
      </c>
      <c r="B85" s="33">
        <v>5</v>
      </c>
      <c r="C85" t="s" s="32">
        <v>66</v>
      </c>
      <c r="D85" s="20" cm="1">
        <f t="array" ref="D85">'Delivery Details and calculatio'!$F$26</f>
        <v>32.73</v>
      </c>
      <c r="E85" s="20" cm="1">
        <f t="array" ref="E85">'Delivery Details and calculatio'!$F$27</f>
        <v>41.61</v>
      </c>
      <c r="F85" s="20" cm="1">
        <f t="array" ref="F85">'Delivery Details and calculatio'!$F$28</f>
        <v>59.38</v>
      </c>
      <c r="G85" s="20" cm="1">
        <f t="array" ref="G85">'Delivery Details and calculatio'!$F$29</f>
        <v>77.09</v>
      </c>
      <c r="H85" s="20" cm="1">
        <f t="array" ref="H85">'Delivery Details and calculatio'!$F$30</f>
        <v>94.81</v>
      </c>
    </row>
    <row r="86" ht="13.65" customHeight="1">
      <c r="A86" t="s" s="32">
        <v>150</v>
      </c>
      <c r="B86" s="33">
        <v>5</v>
      </c>
      <c r="C86" t="s" s="32">
        <v>66</v>
      </c>
      <c r="D86" s="20" cm="1">
        <f t="array" ref="D86">'Delivery Details and calculatio'!$F$26</f>
        <v>32.73</v>
      </c>
      <c r="E86" s="20" cm="1">
        <f t="array" ref="E86">'Delivery Details and calculatio'!$F$27</f>
        <v>41.61</v>
      </c>
      <c r="F86" s="20" cm="1">
        <f t="array" ref="F86">'Delivery Details and calculatio'!$F$28</f>
        <v>59.38</v>
      </c>
      <c r="G86" s="20" cm="1">
        <f t="array" ref="G86">'Delivery Details and calculatio'!$F$29</f>
        <v>77.09</v>
      </c>
      <c r="H86" s="20" cm="1">
        <f t="array" ref="H86">'Delivery Details and calculatio'!$F$30</f>
        <v>94.81</v>
      </c>
    </row>
    <row r="87" ht="13.65" customHeight="1">
      <c r="A87" t="s" s="32">
        <v>151</v>
      </c>
      <c r="B87" s="33">
        <v>5</v>
      </c>
      <c r="C87" t="s" s="32">
        <v>66</v>
      </c>
      <c r="D87" s="20" cm="1">
        <f t="array" ref="D87">'Delivery Details and calculatio'!$F$26</f>
        <v>32.73</v>
      </c>
      <c r="E87" s="20" cm="1">
        <f t="array" ref="E87">'Delivery Details and calculatio'!$F$27</f>
        <v>41.61</v>
      </c>
      <c r="F87" s="20" cm="1">
        <f t="array" ref="F87">'Delivery Details and calculatio'!$F$28</f>
        <v>59.38</v>
      </c>
      <c r="G87" s="20" cm="1">
        <f t="array" ref="G87">'Delivery Details and calculatio'!$F$29</f>
        <v>77.09</v>
      </c>
      <c r="H87" s="20" cm="1">
        <f t="array" ref="H87">'Delivery Details and calculatio'!$F$30</f>
        <v>94.81</v>
      </c>
    </row>
    <row r="88" ht="13.65" customHeight="1">
      <c r="A88" t="s" s="32">
        <v>152</v>
      </c>
      <c r="B88" s="33">
        <v>2</v>
      </c>
      <c r="C88" t="s" s="32">
        <v>71</v>
      </c>
      <c r="D88" s="20" cm="1">
        <f t="array" ref="D88">'Delivery Details and calculatio'!$B$26</f>
        <v>19.57</v>
      </c>
      <c r="E88" s="20" cm="1">
        <f t="array" ref="E88">'Delivery Details and calculatio'!$B$27</f>
        <v>25.51</v>
      </c>
      <c r="F88" s="20" cm="1">
        <f t="array" ref="F88">'Delivery Details and calculatio'!$B$28</f>
        <v>37.43</v>
      </c>
      <c r="G88" s="20" cm="1">
        <f t="array" ref="G88">'Delivery Details and calculatio'!$B$29</f>
        <v>49.35</v>
      </c>
      <c r="H88" s="20" cm="1">
        <f t="array" ref="H88">'Delivery Details and calculatio'!$B$30</f>
        <v>61.28</v>
      </c>
    </row>
    <row r="89" ht="13.65" customHeight="1">
      <c r="A89" t="s" s="32">
        <v>153</v>
      </c>
      <c r="B89" s="33">
        <v>5</v>
      </c>
      <c r="C89" t="s" s="32">
        <v>66</v>
      </c>
      <c r="D89" s="20" cm="1">
        <f t="array" ref="D89">'Delivery Details and calculatio'!$F$26</f>
        <v>32.73</v>
      </c>
      <c r="E89" s="20" cm="1">
        <f t="array" ref="E89">'Delivery Details and calculatio'!$F$27</f>
        <v>41.61</v>
      </c>
      <c r="F89" s="20" cm="1">
        <f t="array" ref="F89">'Delivery Details and calculatio'!$F$28</f>
        <v>59.38</v>
      </c>
      <c r="G89" s="20" cm="1">
        <f t="array" ref="G89">'Delivery Details and calculatio'!$F$29</f>
        <v>77.09</v>
      </c>
      <c r="H89" s="20" cm="1">
        <f t="array" ref="H89">'Delivery Details and calculatio'!$F$30</f>
        <v>94.81</v>
      </c>
    </row>
    <row r="90" ht="13.65" customHeight="1">
      <c r="A90" t="s" s="32">
        <v>154</v>
      </c>
      <c r="B90" s="33">
        <v>5</v>
      </c>
      <c r="C90" t="s" s="32">
        <v>66</v>
      </c>
      <c r="D90" s="20" cm="1">
        <f t="array" ref="D90">'Delivery Details and calculatio'!$F$26</f>
        <v>32.73</v>
      </c>
      <c r="E90" s="20" cm="1">
        <f t="array" ref="E90">'Delivery Details and calculatio'!$F$27</f>
        <v>41.61</v>
      </c>
      <c r="F90" s="20" cm="1">
        <f t="array" ref="F90">'Delivery Details and calculatio'!$F$28</f>
        <v>59.38</v>
      </c>
      <c r="G90" s="20" cm="1">
        <f t="array" ref="G90">'Delivery Details and calculatio'!$F$29</f>
        <v>77.09</v>
      </c>
      <c r="H90" s="20" cm="1">
        <f t="array" ref="H90">'Delivery Details and calculatio'!$F$30</f>
        <v>94.81</v>
      </c>
    </row>
    <row r="91" ht="13.65" customHeight="1">
      <c r="A91" t="s" s="32">
        <v>155</v>
      </c>
      <c r="B91" s="33">
        <v>5</v>
      </c>
      <c r="C91" t="s" s="32">
        <v>66</v>
      </c>
      <c r="D91" s="20" cm="1">
        <f t="array" ref="D91">'Delivery Details and calculatio'!$F$26</f>
        <v>32.73</v>
      </c>
      <c r="E91" s="20" cm="1">
        <f t="array" ref="E91">'Delivery Details and calculatio'!$F$27</f>
        <v>41.61</v>
      </c>
      <c r="F91" s="20" cm="1">
        <f t="array" ref="F91">'Delivery Details and calculatio'!$F$28</f>
        <v>59.38</v>
      </c>
      <c r="G91" s="20" cm="1">
        <f t="array" ref="G91">'Delivery Details and calculatio'!$F$29</f>
        <v>77.09</v>
      </c>
      <c r="H91" s="20" cm="1">
        <f t="array" ref="H91">'Delivery Details and calculatio'!$F$30</f>
        <v>94.81</v>
      </c>
    </row>
    <row r="92" ht="13.65" customHeight="1">
      <c r="A92" t="s" s="32">
        <v>156</v>
      </c>
      <c r="B92" s="33">
        <v>5</v>
      </c>
      <c r="C92" t="s" s="32">
        <v>66</v>
      </c>
      <c r="D92" s="20" cm="1">
        <f t="array" ref="D92">'Delivery Details and calculatio'!$F$26</f>
        <v>32.73</v>
      </c>
      <c r="E92" s="20" cm="1">
        <f t="array" ref="E92">'Delivery Details and calculatio'!$F$27</f>
        <v>41.61</v>
      </c>
      <c r="F92" s="20" cm="1">
        <f t="array" ref="F92">'Delivery Details and calculatio'!$F$28</f>
        <v>59.38</v>
      </c>
      <c r="G92" s="20" cm="1">
        <f t="array" ref="G92">'Delivery Details and calculatio'!$F$29</f>
        <v>77.09</v>
      </c>
      <c r="H92" s="20" cm="1">
        <f t="array" ref="H92">'Delivery Details and calculatio'!$F$30</f>
        <v>94.81</v>
      </c>
    </row>
    <row r="93" ht="13.65" customHeight="1">
      <c r="A93" t="s" s="32">
        <v>157</v>
      </c>
      <c r="B93" s="33">
        <v>5</v>
      </c>
      <c r="C93" t="s" s="32">
        <v>66</v>
      </c>
      <c r="D93" s="20" cm="1">
        <f t="array" ref="D93">'Delivery Details and calculatio'!$F$26</f>
        <v>32.73</v>
      </c>
      <c r="E93" s="20" cm="1">
        <f t="array" ref="E93">'Delivery Details and calculatio'!$F$27</f>
        <v>41.61</v>
      </c>
      <c r="F93" s="20" cm="1">
        <f t="array" ref="F93">'Delivery Details and calculatio'!$F$28</f>
        <v>59.38</v>
      </c>
      <c r="G93" s="20" cm="1">
        <f t="array" ref="G93">'Delivery Details and calculatio'!$F$29</f>
        <v>77.09</v>
      </c>
      <c r="H93" s="20" cm="1">
        <f t="array" ref="H93">'Delivery Details and calculatio'!$F$30</f>
        <v>94.81</v>
      </c>
    </row>
    <row r="94" ht="13.65" customHeight="1">
      <c r="A94" t="s" s="32">
        <v>158</v>
      </c>
      <c r="B94" s="33">
        <v>5</v>
      </c>
      <c r="C94" t="s" s="32">
        <v>66</v>
      </c>
      <c r="D94" s="20" cm="1">
        <f t="array" ref="D94">'Delivery Details and calculatio'!$F$26</f>
        <v>32.73</v>
      </c>
      <c r="E94" s="20" cm="1">
        <f t="array" ref="E94">'Delivery Details and calculatio'!$F$27</f>
        <v>41.61</v>
      </c>
      <c r="F94" s="20" cm="1">
        <f t="array" ref="F94">'Delivery Details and calculatio'!$F$28</f>
        <v>59.38</v>
      </c>
      <c r="G94" s="20" cm="1">
        <f t="array" ref="G94">'Delivery Details and calculatio'!$F$29</f>
        <v>77.09</v>
      </c>
      <c r="H94" s="20" cm="1">
        <f t="array" ref="H94">'Delivery Details and calculatio'!$F$30</f>
        <v>94.81</v>
      </c>
    </row>
    <row r="95" ht="13.65" customHeight="1">
      <c r="A95" t="s" s="32">
        <v>159</v>
      </c>
      <c r="B95" s="33">
        <v>5</v>
      </c>
      <c r="C95" t="s" s="32">
        <v>66</v>
      </c>
      <c r="D95" s="20" cm="1">
        <f t="array" ref="D95">'Delivery Details and calculatio'!$F$26</f>
        <v>32.73</v>
      </c>
      <c r="E95" s="20" cm="1">
        <f t="array" ref="E95">'Delivery Details and calculatio'!$F$27</f>
        <v>41.61</v>
      </c>
      <c r="F95" s="20" cm="1">
        <f t="array" ref="F95">'Delivery Details and calculatio'!$F$28</f>
        <v>59.38</v>
      </c>
      <c r="G95" s="20" cm="1">
        <f t="array" ref="G95">'Delivery Details and calculatio'!$F$29</f>
        <v>77.09</v>
      </c>
      <c r="H95" s="20" cm="1">
        <f t="array" ref="H95">'Delivery Details and calculatio'!$F$30</f>
        <v>94.81</v>
      </c>
    </row>
    <row r="96" ht="13.65" customHeight="1">
      <c r="A96" t="s" s="32">
        <v>160</v>
      </c>
      <c r="B96" s="33">
        <v>2</v>
      </c>
      <c r="C96" t="s" s="32">
        <v>71</v>
      </c>
      <c r="D96" s="20" cm="1">
        <f t="array" ref="D96">'Delivery Details and calculatio'!$B$26</f>
        <v>19.57</v>
      </c>
      <c r="E96" s="20" cm="1">
        <f t="array" ref="E96">'Delivery Details and calculatio'!$B$27</f>
        <v>25.51</v>
      </c>
      <c r="F96" s="20" cm="1">
        <f t="array" ref="F96">'Delivery Details and calculatio'!$B$28</f>
        <v>37.43</v>
      </c>
      <c r="G96" s="20" cm="1">
        <f t="array" ref="G96">'Delivery Details and calculatio'!$B$29</f>
        <v>49.35</v>
      </c>
      <c r="H96" s="20" cm="1">
        <f t="array" ref="H96">'Delivery Details and calculatio'!$B$30</f>
        <v>61.28</v>
      </c>
    </row>
    <row r="97" ht="13.65" customHeight="1">
      <c r="A97" t="s" s="32">
        <v>161</v>
      </c>
      <c r="B97" s="33">
        <v>4</v>
      </c>
      <c r="C97" t="s" s="32">
        <v>68</v>
      </c>
      <c r="D97" s="20" cm="1">
        <f t="array" ref="D97">'Delivery Details and calculatio'!$D$26</f>
        <v>26.98</v>
      </c>
      <c r="E97" s="20" cm="1">
        <f t="array" ref="E97">'Delivery Details and calculatio'!$D$27</f>
        <v>33.77</v>
      </c>
      <c r="F97" s="20" cm="1">
        <f t="array" ref="F97">'Delivery Details and calculatio'!$D$28</f>
        <v>47.41</v>
      </c>
      <c r="G97" s="20" cm="1">
        <f t="array" ref="G97">'Delivery Details and calculatio'!$D$29</f>
        <v>60.99</v>
      </c>
      <c r="H97" s="20" cm="1">
        <f t="array" ref="H97">'Delivery Details and calculatio'!$D$30</f>
        <v>74.58</v>
      </c>
    </row>
    <row r="98" ht="13.65" customHeight="1">
      <c r="A98" t="s" s="32">
        <v>162</v>
      </c>
      <c r="B98" s="33">
        <v>4</v>
      </c>
      <c r="C98" t="s" s="32">
        <v>68</v>
      </c>
      <c r="D98" s="20" cm="1">
        <f t="array" ref="D98">'Delivery Details and calculatio'!$D$26</f>
        <v>26.98</v>
      </c>
      <c r="E98" s="20" cm="1">
        <f t="array" ref="E98">'Delivery Details and calculatio'!$D$27</f>
        <v>33.77</v>
      </c>
      <c r="F98" s="20" cm="1">
        <f t="array" ref="F98">'Delivery Details and calculatio'!$D$28</f>
        <v>47.41</v>
      </c>
      <c r="G98" s="20" cm="1">
        <f t="array" ref="G98">'Delivery Details and calculatio'!$D$29</f>
        <v>60.99</v>
      </c>
      <c r="H98" s="20" cm="1">
        <f t="array" ref="H98">'Delivery Details and calculatio'!$D$30</f>
        <v>74.58</v>
      </c>
    </row>
    <row r="99" ht="13.65" customHeight="1">
      <c r="A99" t="s" s="32">
        <v>163</v>
      </c>
      <c r="B99" s="33">
        <v>2</v>
      </c>
      <c r="C99" t="s" s="32">
        <v>71</v>
      </c>
      <c r="D99" s="20" cm="1">
        <f t="array" ref="D99">'Delivery Details and calculatio'!$B$26</f>
        <v>19.57</v>
      </c>
      <c r="E99" s="20" cm="1">
        <f t="array" ref="E99">'Delivery Details and calculatio'!$B$27</f>
        <v>25.51</v>
      </c>
      <c r="F99" s="20" cm="1">
        <f t="array" ref="F99">'Delivery Details and calculatio'!$B$28</f>
        <v>37.43</v>
      </c>
      <c r="G99" s="20" cm="1">
        <f t="array" ref="G99">'Delivery Details and calculatio'!$B$29</f>
        <v>49.35</v>
      </c>
      <c r="H99" s="20" cm="1">
        <f t="array" ref="H99">'Delivery Details and calculatio'!$B$30</f>
        <v>61.28</v>
      </c>
    </row>
    <row r="100" ht="13.65" customHeight="1">
      <c r="A100" t="s" s="32">
        <v>164</v>
      </c>
      <c r="B100" s="33">
        <v>2</v>
      </c>
      <c r="C100" t="s" s="32">
        <v>71</v>
      </c>
      <c r="D100" s="20" cm="1">
        <f t="array" ref="D100">'Delivery Details and calculatio'!$B$26</f>
        <v>19.57</v>
      </c>
      <c r="E100" s="20" cm="1">
        <f t="array" ref="E100">'Delivery Details and calculatio'!$B$27</f>
        <v>25.51</v>
      </c>
      <c r="F100" s="20" cm="1">
        <f t="array" ref="F100">'Delivery Details and calculatio'!$B$28</f>
        <v>37.43</v>
      </c>
      <c r="G100" s="20" cm="1">
        <f t="array" ref="G100">'Delivery Details and calculatio'!$B$29</f>
        <v>49.35</v>
      </c>
      <c r="H100" s="20" cm="1">
        <f t="array" ref="H100">'Delivery Details and calculatio'!$B$30</f>
        <v>61.28</v>
      </c>
    </row>
    <row r="101" ht="13.65" customHeight="1">
      <c r="A101" t="s" s="32">
        <v>165</v>
      </c>
      <c r="B101" s="33">
        <v>5</v>
      </c>
      <c r="C101" t="s" s="32">
        <v>66</v>
      </c>
      <c r="D101" s="20" cm="1">
        <f t="array" ref="D101">'Delivery Details and calculatio'!$F$26</f>
        <v>32.73</v>
      </c>
      <c r="E101" s="20" cm="1">
        <f t="array" ref="E101">'Delivery Details and calculatio'!$F$27</f>
        <v>41.61</v>
      </c>
      <c r="F101" s="20" cm="1">
        <f t="array" ref="F101">'Delivery Details and calculatio'!$F$28</f>
        <v>59.38</v>
      </c>
      <c r="G101" s="20" cm="1">
        <f t="array" ref="G101">'Delivery Details and calculatio'!$F$29</f>
        <v>77.09</v>
      </c>
      <c r="H101" s="20" cm="1">
        <f t="array" ref="H101">'Delivery Details and calculatio'!$F$30</f>
        <v>94.81</v>
      </c>
    </row>
    <row r="102" ht="13.65" customHeight="1">
      <c r="A102" t="s" s="32">
        <v>166</v>
      </c>
      <c r="B102" s="33">
        <v>5</v>
      </c>
      <c r="C102" t="s" s="32">
        <v>66</v>
      </c>
      <c r="D102" s="20" cm="1">
        <f t="array" ref="D102">'Delivery Details and calculatio'!$F$26</f>
        <v>32.73</v>
      </c>
      <c r="E102" s="20" cm="1">
        <f t="array" ref="E102">'Delivery Details and calculatio'!$F$27</f>
        <v>41.61</v>
      </c>
      <c r="F102" s="20" cm="1">
        <f t="array" ref="F102">'Delivery Details and calculatio'!$F$28</f>
        <v>59.38</v>
      </c>
      <c r="G102" s="20" cm="1">
        <f t="array" ref="G102">'Delivery Details and calculatio'!$F$29</f>
        <v>77.09</v>
      </c>
      <c r="H102" s="20" cm="1">
        <f t="array" ref="H102">'Delivery Details and calculatio'!$F$30</f>
        <v>94.81</v>
      </c>
    </row>
    <row r="103" ht="13.65" customHeight="1">
      <c r="A103" t="s" s="32">
        <v>167</v>
      </c>
      <c r="B103" s="33">
        <v>4</v>
      </c>
      <c r="C103" t="s" s="32">
        <v>168</v>
      </c>
      <c r="D103" s="20" cm="1">
        <f t="array" ref="D103">'Delivery Details and calculatio'!$E$17</f>
        <v>26.98</v>
      </c>
      <c r="E103" s="20" cm="1">
        <f t="array" ref="E103">'Delivery Details and calculatio'!$E$18</f>
        <v>33.77</v>
      </c>
      <c r="F103" s="20" cm="1">
        <f t="array" ref="F103">'Delivery Details and calculatio'!$E$19</f>
        <v>47.41</v>
      </c>
      <c r="G103" s="20" cm="1">
        <f t="array" ref="G103">'Delivery Details and calculatio'!$E$20</f>
        <v>60.99</v>
      </c>
      <c r="H103" s="20" cm="1">
        <f t="array" ref="H103">'Delivery Details and calculatio'!$E$21</f>
        <v>74.58</v>
      </c>
    </row>
    <row r="104" ht="13.65" customHeight="1">
      <c r="A104" t="s" s="32">
        <v>169</v>
      </c>
      <c r="B104" s="33">
        <v>5</v>
      </c>
      <c r="C104" t="s" s="32">
        <v>66</v>
      </c>
      <c r="D104" s="20" cm="1">
        <f t="array" ref="D104">'Delivery Details and calculatio'!$F$26</f>
        <v>32.73</v>
      </c>
      <c r="E104" s="20" cm="1">
        <f t="array" ref="E104">'Delivery Details and calculatio'!$F$27</f>
        <v>41.61</v>
      </c>
      <c r="F104" s="20" cm="1">
        <f t="array" ref="F104">'Delivery Details and calculatio'!$F$28</f>
        <v>59.38</v>
      </c>
      <c r="G104" s="20" cm="1">
        <f t="array" ref="G104">'Delivery Details and calculatio'!$F$29</f>
        <v>77.09</v>
      </c>
      <c r="H104" s="20" cm="1">
        <f t="array" ref="H104">'Delivery Details and calculatio'!$F$30</f>
        <v>94.81</v>
      </c>
    </row>
    <row r="105" ht="13.65" customHeight="1">
      <c r="A105" t="s" s="32">
        <v>170</v>
      </c>
      <c r="B105" s="33">
        <v>4</v>
      </c>
      <c r="C105" t="s" s="32">
        <v>68</v>
      </c>
      <c r="D105" s="20" cm="1">
        <f t="array" ref="D105">'Delivery Details and calculatio'!$D$26</f>
        <v>26.98</v>
      </c>
      <c r="E105" s="20" cm="1">
        <f t="array" ref="E105">'Delivery Details and calculatio'!$D$27</f>
        <v>33.77</v>
      </c>
      <c r="F105" s="20" cm="1">
        <f t="array" ref="F105">'Delivery Details and calculatio'!$D$28</f>
        <v>47.41</v>
      </c>
      <c r="G105" s="20" cm="1">
        <f t="array" ref="G105">'Delivery Details and calculatio'!$D$29</f>
        <v>60.99</v>
      </c>
      <c r="H105" s="20" cm="1">
        <f t="array" ref="H105">'Delivery Details and calculatio'!$D$30</f>
        <v>74.58</v>
      </c>
    </row>
    <row r="106" ht="13.65" customHeight="1">
      <c r="A106" t="s" s="32">
        <v>171</v>
      </c>
      <c r="B106" s="33">
        <v>5</v>
      </c>
      <c r="C106" t="s" s="32">
        <v>66</v>
      </c>
      <c r="D106" s="20" cm="1">
        <f t="array" ref="D106">'Delivery Details and calculatio'!$F$26</f>
        <v>32.73</v>
      </c>
      <c r="E106" s="20" cm="1">
        <f t="array" ref="E106">'Delivery Details and calculatio'!$F$27</f>
        <v>41.61</v>
      </c>
      <c r="F106" s="20" cm="1">
        <f t="array" ref="F106">'Delivery Details and calculatio'!$F$28</f>
        <v>59.38</v>
      </c>
      <c r="G106" s="20" cm="1">
        <f t="array" ref="G106">'Delivery Details and calculatio'!$F$29</f>
        <v>77.09</v>
      </c>
      <c r="H106" s="20" cm="1">
        <f t="array" ref="H106">'Delivery Details and calculatio'!$F$30</f>
        <v>94.81</v>
      </c>
    </row>
    <row r="107" ht="13.65" customHeight="1">
      <c r="A107" t="s" s="32">
        <v>172</v>
      </c>
      <c r="B107" s="33">
        <v>2</v>
      </c>
      <c r="C107" t="s" s="32">
        <v>71</v>
      </c>
      <c r="D107" s="20" cm="1">
        <f t="array" ref="D107">'Delivery Details and calculatio'!$B$26</f>
        <v>19.57</v>
      </c>
      <c r="E107" s="20" cm="1">
        <f t="array" ref="E107">'Delivery Details and calculatio'!$B$27</f>
        <v>25.51</v>
      </c>
      <c r="F107" s="20" cm="1">
        <f t="array" ref="F107">'Delivery Details and calculatio'!$B$28</f>
        <v>37.43</v>
      </c>
      <c r="G107" s="20" cm="1">
        <f t="array" ref="G107">'Delivery Details and calculatio'!$B$29</f>
        <v>49.35</v>
      </c>
      <c r="H107" s="20" cm="1">
        <f t="array" ref="H107">'Delivery Details and calculatio'!$B$30</f>
        <v>61.28</v>
      </c>
    </row>
    <row r="108" ht="13.65" customHeight="1">
      <c r="A108" t="s" s="32">
        <v>173</v>
      </c>
      <c r="B108" s="33">
        <v>5</v>
      </c>
      <c r="C108" t="s" s="32">
        <v>66</v>
      </c>
      <c r="D108" s="20" cm="1">
        <f t="array" ref="D108">'Delivery Details and calculatio'!$F$26</f>
        <v>32.73</v>
      </c>
      <c r="E108" s="20" cm="1">
        <f t="array" ref="E108">'Delivery Details and calculatio'!$F$27</f>
        <v>41.61</v>
      </c>
      <c r="F108" s="20" cm="1">
        <f t="array" ref="F108">'Delivery Details and calculatio'!$F$28</f>
        <v>59.38</v>
      </c>
      <c r="G108" s="20" cm="1">
        <f t="array" ref="G108">'Delivery Details and calculatio'!$F$29</f>
        <v>77.09</v>
      </c>
      <c r="H108" s="20" cm="1">
        <f t="array" ref="H108">'Delivery Details and calculatio'!$F$30</f>
        <v>94.81</v>
      </c>
    </row>
    <row r="109" ht="13.65" customHeight="1">
      <c r="A109" t="s" s="32">
        <v>174</v>
      </c>
      <c r="B109" s="33">
        <v>5</v>
      </c>
      <c r="C109" t="s" s="32">
        <v>66</v>
      </c>
      <c r="D109" s="20" cm="1">
        <f t="array" ref="D109">'Delivery Details and calculatio'!$F$26</f>
        <v>32.73</v>
      </c>
      <c r="E109" s="20" cm="1">
        <f t="array" ref="E109">'Delivery Details and calculatio'!$F$27</f>
        <v>41.61</v>
      </c>
      <c r="F109" s="20" cm="1">
        <f t="array" ref="F109">'Delivery Details and calculatio'!$F$28</f>
        <v>59.38</v>
      </c>
      <c r="G109" s="20" cm="1">
        <f t="array" ref="G109">'Delivery Details and calculatio'!$F$29</f>
        <v>77.09</v>
      </c>
      <c r="H109" s="20" cm="1">
        <f t="array" ref="H109">'Delivery Details and calculatio'!$F$30</f>
        <v>94.81</v>
      </c>
    </row>
    <row r="110" ht="13.65" customHeight="1">
      <c r="A110" t="s" s="32">
        <v>175</v>
      </c>
      <c r="B110" s="33">
        <v>5</v>
      </c>
      <c r="C110" t="s" s="32">
        <v>66</v>
      </c>
      <c r="D110" s="20" cm="1">
        <f t="array" ref="D110">'Delivery Details and calculatio'!$F$26</f>
        <v>32.73</v>
      </c>
      <c r="E110" s="20" cm="1">
        <f t="array" ref="E110">'Delivery Details and calculatio'!$F$27</f>
        <v>41.61</v>
      </c>
      <c r="F110" s="20" cm="1">
        <f t="array" ref="F110">'Delivery Details and calculatio'!$F$28</f>
        <v>59.38</v>
      </c>
      <c r="G110" s="20" cm="1">
        <f t="array" ref="G110">'Delivery Details and calculatio'!$F$29</f>
        <v>77.09</v>
      </c>
      <c r="H110" s="20" cm="1">
        <f t="array" ref="H110">'Delivery Details and calculatio'!$F$30</f>
        <v>94.81</v>
      </c>
    </row>
    <row r="111" ht="13.65" customHeight="1">
      <c r="A111" t="s" s="32">
        <v>176</v>
      </c>
      <c r="B111" s="33">
        <v>2</v>
      </c>
      <c r="C111" t="s" s="32">
        <v>71</v>
      </c>
      <c r="D111" s="20" cm="1">
        <f t="array" ref="D111">'Delivery Details and calculatio'!$B$26</f>
        <v>19.57</v>
      </c>
      <c r="E111" s="20" cm="1">
        <f t="array" ref="E111">'Delivery Details and calculatio'!$B$27</f>
        <v>25.51</v>
      </c>
      <c r="F111" s="20" cm="1">
        <f t="array" ref="F111">'Delivery Details and calculatio'!$B$28</f>
        <v>37.43</v>
      </c>
      <c r="G111" s="20" cm="1">
        <f t="array" ref="G111">'Delivery Details and calculatio'!$B$29</f>
        <v>49.35</v>
      </c>
      <c r="H111" s="20" cm="1">
        <f t="array" ref="H111">'Delivery Details and calculatio'!$B$30</f>
        <v>61.28</v>
      </c>
    </row>
    <row r="112" ht="13.65" customHeight="1">
      <c r="A112" t="s" s="32">
        <v>177</v>
      </c>
      <c r="B112" s="33">
        <v>4</v>
      </c>
      <c r="C112" t="s" s="32">
        <v>68</v>
      </c>
      <c r="D112" s="20" cm="1">
        <f t="array" ref="D112">'Delivery Details and calculatio'!$D$26</f>
        <v>26.98</v>
      </c>
      <c r="E112" s="20" cm="1">
        <f t="array" ref="E112">'Delivery Details and calculatio'!$D$27</f>
        <v>33.77</v>
      </c>
      <c r="F112" s="20" cm="1">
        <f t="array" ref="F112">'Delivery Details and calculatio'!$D$28</f>
        <v>47.41</v>
      </c>
      <c r="G112" s="20" cm="1">
        <f t="array" ref="G112">'Delivery Details and calculatio'!$D$29</f>
        <v>60.99</v>
      </c>
      <c r="H112" s="20" cm="1">
        <f t="array" ref="H112">'Delivery Details and calculatio'!$D$30</f>
        <v>74.58</v>
      </c>
    </row>
    <row r="113" ht="13.65" customHeight="1">
      <c r="A113" t="s" s="32">
        <v>178</v>
      </c>
      <c r="B113" s="33">
        <v>5</v>
      </c>
      <c r="C113" t="s" s="32">
        <v>66</v>
      </c>
      <c r="D113" s="20" cm="1">
        <f t="array" ref="D113">'Delivery Details and calculatio'!$F$26</f>
        <v>32.73</v>
      </c>
      <c r="E113" s="20" cm="1">
        <f t="array" ref="E113">'Delivery Details and calculatio'!$F$27</f>
        <v>41.61</v>
      </c>
      <c r="F113" s="20" cm="1">
        <f t="array" ref="F113">'Delivery Details and calculatio'!$F$28</f>
        <v>59.38</v>
      </c>
      <c r="G113" s="20" cm="1">
        <f t="array" ref="G113">'Delivery Details and calculatio'!$F$29</f>
        <v>77.09</v>
      </c>
      <c r="H113" s="20" cm="1">
        <f t="array" ref="H113">'Delivery Details and calculatio'!$F$30</f>
        <v>94.81</v>
      </c>
    </row>
    <row r="114" ht="13.65" customHeight="1">
      <c r="A114" t="s" s="32">
        <v>179</v>
      </c>
      <c r="B114" s="33">
        <v>5</v>
      </c>
      <c r="C114" t="s" s="32">
        <v>66</v>
      </c>
      <c r="D114" s="20" cm="1">
        <f t="array" ref="D114">'Delivery Details and calculatio'!$F$26</f>
        <v>32.73</v>
      </c>
      <c r="E114" s="20" cm="1">
        <f t="array" ref="E114">'Delivery Details and calculatio'!$F$27</f>
        <v>41.61</v>
      </c>
      <c r="F114" s="20" cm="1">
        <f t="array" ref="F114">'Delivery Details and calculatio'!$F$28</f>
        <v>59.38</v>
      </c>
      <c r="G114" s="20" cm="1">
        <f t="array" ref="G114">'Delivery Details and calculatio'!$F$29</f>
        <v>77.09</v>
      </c>
      <c r="H114" s="20" cm="1">
        <f t="array" ref="H114">'Delivery Details and calculatio'!$F$30</f>
        <v>94.81</v>
      </c>
    </row>
    <row r="115" ht="13.65" customHeight="1">
      <c r="A115" t="s" s="32">
        <v>180</v>
      </c>
      <c r="B115" s="33">
        <v>2</v>
      </c>
      <c r="C115" t="s" s="32">
        <v>71</v>
      </c>
      <c r="D115" s="20" cm="1">
        <f t="array" ref="D115">'Delivery Details and calculatio'!$B$26</f>
        <v>19.57</v>
      </c>
      <c r="E115" s="20" cm="1">
        <f t="array" ref="E115">'Delivery Details and calculatio'!$B$27</f>
        <v>25.51</v>
      </c>
      <c r="F115" s="20" cm="1">
        <f t="array" ref="F115">'Delivery Details and calculatio'!$B$28</f>
        <v>37.43</v>
      </c>
      <c r="G115" s="20" cm="1">
        <f t="array" ref="G115">'Delivery Details and calculatio'!$B$29</f>
        <v>49.35</v>
      </c>
      <c r="H115" s="20" cm="1">
        <f t="array" ref="H115">'Delivery Details and calculatio'!$B$30</f>
        <v>61.28</v>
      </c>
    </row>
    <row r="116" ht="13.65" customHeight="1">
      <c r="A116" t="s" s="32">
        <v>181</v>
      </c>
      <c r="B116" s="33">
        <v>5</v>
      </c>
      <c r="C116" t="s" s="32">
        <v>66</v>
      </c>
      <c r="D116" s="20" cm="1">
        <f t="array" ref="D116">'Delivery Details and calculatio'!$F$26</f>
        <v>32.73</v>
      </c>
      <c r="E116" s="20" cm="1">
        <f t="array" ref="E116">'Delivery Details and calculatio'!$F$27</f>
        <v>41.61</v>
      </c>
      <c r="F116" s="20" cm="1">
        <f t="array" ref="F116">'Delivery Details and calculatio'!$F$28</f>
        <v>59.38</v>
      </c>
      <c r="G116" s="20" cm="1">
        <f t="array" ref="G116">'Delivery Details and calculatio'!$F$29</f>
        <v>77.09</v>
      </c>
      <c r="H116" s="20" cm="1">
        <f t="array" ref="H116">'Delivery Details and calculatio'!$F$30</f>
        <v>94.81</v>
      </c>
    </row>
    <row r="117" ht="13.65" customHeight="1">
      <c r="A117" t="s" s="32">
        <v>182</v>
      </c>
      <c r="B117" s="33">
        <v>5</v>
      </c>
      <c r="C117" t="s" s="32">
        <v>66</v>
      </c>
      <c r="D117" s="20" cm="1">
        <f t="array" ref="D117">'Delivery Details and calculatio'!$F$26</f>
        <v>32.73</v>
      </c>
      <c r="E117" s="20" cm="1">
        <f t="array" ref="E117">'Delivery Details and calculatio'!$F$27</f>
        <v>41.61</v>
      </c>
      <c r="F117" s="20" cm="1">
        <f t="array" ref="F117">'Delivery Details and calculatio'!$F$28</f>
        <v>59.38</v>
      </c>
      <c r="G117" s="20" cm="1">
        <f t="array" ref="G117">'Delivery Details and calculatio'!$F$29</f>
        <v>77.09</v>
      </c>
      <c r="H117" s="20" cm="1">
        <f t="array" ref="H117">'Delivery Details and calculatio'!$F$30</f>
        <v>94.81</v>
      </c>
    </row>
    <row r="118" ht="13.65" customHeight="1">
      <c r="A118" t="s" s="32">
        <v>183</v>
      </c>
      <c r="B118" s="33">
        <v>5</v>
      </c>
      <c r="C118" t="s" s="32">
        <v>66</v>
      </c>
      <c r="D118" s="20" cm="1">
        <f t="array" ref="D118">'Delivery Details and calculatio'!$F$26</f>
        <v>32.73</v>
      </c>
      <c r="E118" s="20" cm="1">
        <f t="array" ref="E118">'Delivery Details and calculatio'!$F$27</f>
        <v>41.61</v>
      </c>
      <c r="F118" s="20" cm="1">
        <f t="array" ref="F118">'Delivery Details and calculatio'!$F$28</f>
        <v>59.38</v>
      </c>
      <c r="G118" s="20" cm="1">
        <f t="array" ref="G118">'Delivery Details and calculatio'!$F$29</f>
        <v>77.09</v>
      </c>
      <c r="H118" s="20" cm="1">
        <f t="array" ref="H118">'Delivery Details and calculatio'!$F$30</f>
        <v>94.81</v>
      </c>
    </row>
    <row r="119" ht="13.65" customHeight="1">
      <c r="A119" t="s" s="32">
        <v>184</v>
      </c>
      <c r="B119" s="33">
        <v>5</v>
      </c>
      <c r="C119" t="s" s="32">
        <v>66</v>
      </c>
      <c r="D119" s="20" cm="1">
        <f t="array" ref="D119">'Delivery Details and calculatio'!$F$26</f>
        <v>32.73</v>
      </c>
      <c r="E119" s="20" cm="1">
        <f t="array" ref="E119">'Delivery Details and calculatio'!$F$27</f>
        <v>41.61</v>
      </c>
      <c r="F119" s="20" cm="1">
        <f t="array" ref="F119">'Delivery Details and calculatio'!$F$28</f>
        <v>59.38</v>
      </c>
      <c r="G119" s="20" cm="1">
        <f t="array" ref="G119">'Delivery Details and calculatio'!$F$29</f>
        <v>77.09</v>
      </c>
      <c r="H119" s="20" cm="1">
        <f t="array" ref="H119">'Delivery Details and calculatio'!$F$30</f>
        <v>94.81</v>
      </c>
    </row>
    <row r="120" ht="13.65" customHeight="1">
      <c r="A120" t="s" s="32">
        <v>185</v>
      </c>
      <c r="B120" s="33">
        <v>5</v>
      </c>
      <c r="C120" t="s" s="32">
        <v>66</v>
      </c>
      <c r="D120" s="20" cm="1">
        <f t="array" ref="D120">'Delivery Details and calculatio'!$F$26</f>
        <v>32.73</v>
      </c>
      <c r="E120" s="20" cm="1">
        <f t="array" ref="E120">'Delivery Details and calculatio'!$F$27</f>
        <v>41.61</v>
      </c>
      <c r="F120" s="20" cm="1">
        <f t="array" ref="F120">'Delivery Details and calculatio'!$F$28</f>
        <v>59.38</v>
      </c>
      <c r="G120" s="20" cm="1">
        <f t="array" ref="G120">'Delivery Details and calculatio'!$F$29</f>
        <v>77.09</v>
      </c>
      <c r="H120" s="20" cm="1">
        <f t="array" ref="H120">'Delivery Details and calculatio'!$F$30</f>
        <v>94.81</v>
      </c>
    </row>
    <row r="121" ht="13.65" customHeight="1">
      <c r="A121" t="s" s="32">
        <v>186</v>
      </c>
      <c r="B121" s="33">
        <v>5</v>
      </c>
      <c r="C121" t="s" s="32">
        <v>66</v>
      </c>
      <c r="D121" s="20" cm="1">
        <f t="array" ref="D121">'Delivery Details and calculatio'!$F$26</f>
        <v>32.73</v>
      </c>
      <c r="E121" s="20" cm="1">
        <f t="array" ref="E121">'Delivery Details and calculatio'!$F$27</f>
        <v>41.61</v>
      </c>
      <c r="F121" s="20" cm="1">
        <f t="array" ref="F121">'Delivery Details and calculatio'!$F$28</f>
        <v>59.38</v>
      </c>
      <c r="G121" s="20" cm="1">
        <f t="array" ref="G121">'Delivery Details and calculatio'!$F$29</f>
        <v>77.09</v>
      </c>
      <c r="H121" s="20" cm="1">
        <f t="array" ref="H121">'Delivery Details and calculatio'!$F$30</f>
        <v>94.81</v>
      </c>
    </row>
    <row r="122" ht="13.65" customHeight="1">
      <c r="A122" t="s" s="32">
        <v>187</v>
      </c>
      <c r="B122" s="33">
        <v>5</v>
      </c>
      <c r="C122" t="s" s="32">
        <v>66</v>
      </c>
      <c r="D122" s="20" cm="1">
        <f t="array" ref="D122">'Delivery Details and calculatio'!$F$26</f>
        <v>32.73</v>
      </c>
      <c r="E122" s="20" cm="1">
        <f t="array" ref="E122">'Delivery Details and calculatio'!$F$27</f>
        <v>41.61</v>
      </c>
      <c r="F122" s="20" cm="1">
        <f t="array" ref="F122">'Delivery Details and calculatio'!$F$28</f>
        <v>59.38</v>
      </c>
      <c r="G122" s="20" cm="1">
        <f t="array" ref="G122">'Delivery Details and calculatio'!$F$29</f>
        <v>77.09</v>
      </c>
      <c r="H122" s="20" cm="1">
        <f t="array" ref="H122">'Delivery Details and calculatio'!$F$30</f>
        <v>94.81</v>
      </c>
    </row>
    <row r="123" ht="13.65" customHeight="1">
      <c r="A123" t="s" s="32">
        <v>188</v>
      </c>
      <c r="B123" s="33">
        <v>5</v>
      </c>
      <c r="C123" t="s" s="32">
        <v>66</v>
      </c>
      <c r="D123" s="20" cm="1">
        <f t="array" ref="D123">'Delivery Details and calculatio'!$F$26</f>
        <v>32.73</v>
      </c>
      <c r="E123" s="20" cm="1">
        <f t="array" ref="E123">'Delivery Details and calculatio'!$F$27</f>
        <v>41.61</v>
      </c>
      <c r="F123" s="20" cm="1">
        <f t="array" ref="F123">'Delivery Details and calculatio'!$F$28</f>
        <v>59.38</v>
      </c>
      <c r="G123" s="20" cm="1">
        <f t="array" ref="G123">'Delivery Details and calculatio'!$F$29</f>
        <v>77.09</v>
      </c>
      <c r="H123" s="20" cm="1">
        <f t="array" ref="H123">'Delivery Details and calculatio'!$F$30</f>
        <v>94.81</v>
      </c>
    </row>
    <row r="124" ht="13.65" customHeight="1">
      <c r="A124" t="s" s="32">
        <v>189</v>
      </c>
      <c r="B124" s="33">
        <v>2</v>
      </c>
      <c r="C124" t="s" s="32">
        <v>71</v>
      </c>
      <c r="D124" s="20" cm="1">
        <f t="array" ref="D124">'Delivery Details and calculatio'!$B$26</f>
        <v>19.57</v>
      </c>
      <c r="E124" s="20" cm="1">
        <f t="array" ref="E124">'Delivery Details and calculatio'!$B$27</f>
        <v>25.51</v>
      </c>
      <c r="F124" s="20" cm="1">
        <f t="array" ref="F124">'Delivery Details and calculatio'!$B$28</f>
        <v>37.43</v>
      </c>
      <c r="G124" s="20" cm="1">
        <f t="array" ref="G124">'Delivery Details and calculatio'!$B$29</f>
        <v>49.35</v>
      </c>
      <c r="H124" s="20" cm="1">
        <f t="array" ref="H124">'Delivery Details and calculatio'!$B$30</f>
        <v>61.28</v>
      </c>
    </row>
    <row r="125" ht="13.65" customHeight="1">
      <c r="A125" t="s" s="32">
        <v>190</v>
      </c>
      <c r="B125" s="33">
        <v>5</v>
      </c>
      <c r="C125" t="s" s="32">
        <v>66</v>
      </c>
      <c r="D125" s="20" cm="1">
        <f t="array" ref="D125">'Delivery Details and calculatio'!$F$26</f>
        <v>32.73</v>
      </c>
      <c r="E125" s="20" cm="1">
        <f t="array" ref="E125">'Delivery Details and calculatio'!$F$27</f>
        <v>41.61</v>
      </c>
      <c r="F125" s="20" cm="1">
        <f t="array" ref="F125">'Delivery Details and calculatio'!$F$28</f>
        <v>59.38</v>
      </c>
      <c r="G125" s="20" cm="1">
        <f t="array" ref="G125">'Delivery Details and calculatio'!$F$29</f>
        <v>77.09</v>
      </c>
      <c r="H125" s="20" cm="1">
        <f t="array" ref="H125">'Delivery Details and calculatio'!$F$30</f>
        <v>94.81</v>
      </c>
    </row>
    <row r="126" ht="13.65" customHeight="1">
      <c r="A126" t="s" s="32">
        <v>191</v>
      </c>
      <c r="B126" s="33">
        <v>5</v>
      </c>
      <c r="C126" t="s" s="32">
        <v>66</v>
      </c>
      <c r="D126" s="20" cm="1">
        <f t="array" ref="D126">'Delivery Details and calculatio'!$F$26</f>
        <v>32.73</v>
      </c>
      <c r="E126" s="20" cm="1">
        <f t="array" ref="E126">'Delivery Details and calculatio'!$F$27</f>
        <v>41.61</v>
      </c>
      <c r="F126" s="20" cm="1">
        <f t="array" ref="F126">'Delivery Details and calculatio'!$F$28</f>
        <v>59.38</v>
      </c>
      <c r="G126" s="20" cm="1">
        <f t="array" ref="G126">'Delivery Details and calculatio'!$F$29</f>
        <v>77.09</v>
      </c>
      <c r="H126" s="20" cm="1">
        <f t="array" ref="H126">'Delivery Details and calculatio'!$F$30</f>
        <v>94.81</v>
      </c>
    </row>
    <row r="127" ht="13.65" customHeight="1">
      <c r="A127" t="s" s="32">
        <v>192</v>
      </c>
      <c r="B127" s="33">
        <v>2</v>
      </c>
      <c r="C127" t="s" s="32">
        <v>71</v>
      </c>
      <c r="D127" s="20" cm="1">
        <f t="array" ref="D127">'Delivery Details and calculatio'!$B$26</f>
        <v>19.57</v>
      </c>
      <c r="E127" s="20" cm="1">
        <f t="array" ref="E127">'Delivery Details and calculatio'!$B$27</f>
        <v>25.51</v>
      </c>
      <c r="F127" s="20" cm="1">
        <f t="array" ref="F127">'Delivery Details and calculatio'!$B$28</f>
        <v>37.43</v>
      </c>
      <c r="G127" s="20" cm="1">
        <f t="array" ref="G127">'Delivery Details and calculatio'!$B$29</f>
        <v>49.35</v>
      </c>
      <c r="H127" s="20" cm="1">
        <f t="array" ref="H127">'Delivery Details and calculatio'!$B$30</f>
        <v>61.28</v>
      </c>
    </row>
    <row r="128" ht="13.65" customHeight="1">
      <c r="A128" t="s" s="32">
        <v>193</v>
      </c>
      <c r="B128" s="33">
        <v>2</v>
      </c>
      <c r="C128" t="s" s="32">
        <v>71</v>
      </c>
      <c r="D128" s="20" cm="1">
        <f t="array" ref="D128">'Delivery Details and calculatio'!$B$26</f>
        <v>19.57</v>
      </c>
      <c r="E128" s="20" cm="1">
        <f t="array" ref="E128">'Delivery Details and calculatio'!$B$27</f>
        <v>25.51</v>
      </c>
      <c r="F128" s="20" cm="1">
        <f t="array" ref="F128">'Delivery Details and calculatio'!$B$28</f>
        <v>37.43</v>
      </c>
      <c r="G128" s="20" cm="1">
        <f t="array" ref="G128">'Delivery Details and calculatio'!$B$29</f>
        <v>49.35</v>
      </c>
      <c r="H128" s="20" cm="1">
        <f t="array" ref="H128">'Delivery Details and calculatio'!$B$30</f>
        <v>61.28</v>
      </c>
    </row>
    <row r="129" ht="13.65" customHeight="1">
      <c r="A129" t="s" s="32">
        <v>194</v>
      </c>
      <c r="B129" s="33">
        <v>5</v>
      </c>
      <c r="C129" t="s" s="32">
        <v>66</v>
      </c>
      <c r="D129" s="20" cm="1">
        <f t="array" ref="D129">'Delivery Details and calculatio'!$F$26</f>
        <v>32.73</v>
      </c>
      <c r="E129" s="20" cm="1">
        <f t="array" ref="E129">'Delivery Details and calculatio'!$F$27</f>
        <v>41.61</v>
      </c>
      <c r="F129" s="20" cm="1">
        <f t="array" ref="F129">'Delivery Details and calculatio'!$F$28</f>
        <v>59.38</v>
      </c>
      <c r="G129" s="20" cm="1">
        <f t="array" ref="G129">'Delivery Details and calculatio'!$F$29</f>
        <v>77.09</v>
      </c>
      <c r="H129" s="20" cm="1">
        <f t="array" ref="H129">'Delivery Details and calculatio'!$F$30</f>
        <v>94.81</v>
      </c>
    </row>
    <row r="130" ht="13.65" customHeight="1">
      <c r="A130" t="s" s="32">
        <v>195</v>
      </c>
      <c r="B130" s="33">
        <v>4</v>
      </c>
      <c r="C130" t="s" s="32">
        <v>68</v>
      </c>
      <c r="D130" s="20" cm="1">
        <f t="array" ref="D130">'Delivery Details and calculatio'!$D$26</f>
        <v>26.98</v>
      </c>
      <c r="E130" s="20" cm="1">
        <f t="array" ref="E130">'Delivery Details and calculatio'!$D$27</f>
        <v>33.77</v>
      </c>
      <c r="F130" s="20" cm="1">
        <f t="array" ref="F130">'Delivery Details and calculatio'!$D$28</f>
        <v>47.41</v>
      </c>
      <c r="G130" s="20" cm="1">
        <f t="array" ref="G130">'Delivery Details and calculatio'!$D$29</f>
        <v>60.99</v>
      </c>
      <c r="H130" s="20" cm="1">
        <f t="array" ref="H130">'Delivery Details and calculatio'!$D$30</f>
        <v>74.58</v>
      </c>
    </row>
    <row r="131" ht="13.65" customHeight="1">
      <c r="A131" t="s" s="32">
        <v>196</v>
      </c>
      <c r="B131" s="33">
        <v>2</v>
      </c>
      <c r="C131" t="s" s="32">
        <v>71</v>
      </c>
      <c r="D131" s="20" cm="1">
        <f t="array" ref="D131">'Delivery Details and calculatio'!$B$26</f>
        <v>19.57</v>
      </c>
      <c r="E131" s="20" cm="1">
        <f t="array" ref="E131">'Delivery Details and calculatio'!$B$27</f>
        <v>25.51</v>
      </c>
      <c r="F131" s="20" cm="1">
        <f t="array" ref="F131">'Delivery Details and calculatio'!$B$28</f>
        <v>37.43</v>
      </c>
      <c r="G131" s="20" cm="1">
        <f t="array" ref="G131">'Delivery Details and calculatio'!$B$29</f>
        <v>49.35</v>
      </c>
      <c r="H131" s="20" cm="1">
        <f t="array" ref="H131">'Delivery Details and calculatio'!$B$30</f>
        <v>61.28</v>
      </c>
    </row>
    <row r="132" ht="13.65" customHeight="1">
      <c r="A132" t="s" s="32">
        <v>197</v>
      </c>
      <c r="B132" s="33">
        <v>5</v>
      </c>
      <c r="C132" t="s" s="32">
        <v>66</v>
      </c>
      <c r="D132" s="20" cm="1">
        <f t="array" ref="D132">'Delivery Details and calculatio'!$F$26</f>
        <v>32.73</v>
      </c>
      <c r="E132" s="20" cm="1">
        <f t="array" ref="E132">'Delivery Details and calculatio'!$F$27</f>
        <v>41.61</v>
      </c>
      <c r="F132" s="20" cm="1">
        <f t="array" ref="F132">'Delivery Details and calculatio'!$F$28</f>
        <v>59.38</v>
      </c>
      <c r="G132" s="20" cm="1">
        <f t="array" ref="G132">'Delivery Details and calculatio'!$F$29</f>
        <v>77.09</v>
      </c>
      <c r="H132" s="20" cm="1">
        <f t="array" ref="H132">'Delivery Details and calculatio'!$F$30</f>
        <v>94.81</v>
      </c>
    </row>
    <row r="133" ht="13.65" customHeight="1">
      <c r="A133" t="s" s="32">
        <v>198</v>
      </c>
      <c r="B133" s="33">
        <v>5</v>
      </c>
      <c r="C133" t="s" s="32">
        <v>66</v>
      </c>
      <c r="D133" s="20" cm="1">
        <f t="array" ref="D133">'Delivery Details and calculatio'!$F$26</f>
        <v>32.73</v>
      </c>
      <c r="E133" s="20" cm="1">
        <f t="array" ref="E133">'Delivery Details and calculatio'!$F$27</f>
        <v>41.61</v>
      </c>
      <c r="F133" s="20" cm="1">
        <f t="array" ref="F133">'Delivery Details and calculatio'!$F$28</f>
        <v>59.38</v>
      </c>
      <c r="G133" s="20" cm="1">
        <f t="array" ref="G133">'Delivery Details and calculatio'!$F$29</f>
        <v>77.09</v>
      </c>
      <c r="H133" s="20" cm="1">
        <f t="array" ref="H133">'Delivery Details and calculatio'!$F$30</f>
        <v>94.81</v>
      </c>
    </row>
    <row r="134" ht="13.65" customHeight="1">
      <c r="A134" t="s" s="32">
        <v>199</v>
      </c>
      <c r="B134" s="33">
        <v>5</v>
      </c>
      <c r="C134" t="s" s="32">
        <v>66</v>
      </c>
      <c r="D134" s="20" cm="1">
        <f t="array" ref="D134">'Delivery Details and calculatio'!$F$26</f>
        <v>32.73</v>
      </c>
      <c r="E134" s="20" cm="1">
        <f t="array" ref="E134">'Delivery Details and calculatio'!$F$27</f>
        <v>41.61</v>
      </c>
      <c r="F134" s="20" cm="1">
        <f t="array" ref="F134">'Delivery Details and calculatio'!$F$28</f>
        <v>59.38</v>
      </c>
      <c r="G134" s="20" cm="1">
        <f t="array" ref="G134">'Delivery Details and calculatio'!$F$29</f>
        <v>77.09</v>
      </c>
      <c r="H134" s="20" cm="1">
        <f t="array" ref="H134">'Delivery Details and calculatio'!$F$30</f>
        <v>94.81</v>
      </c>
    </row>
    <row r="135" ht="13.65" customHeight="1">
      <c r="A135" t="s" s="32">
        <v>200</v>
      </c>
      <c r="B135" s="33">
        <v>5</v>
      </c>
      <c r="C135" t="s" s="32">
        <v>66</v>
      </c>
      <c r="D135" s="20" cm="1">
        <f t="array" ref="D135">'Delivery Details and calculatio'!$F$26</f>
        <v>32.73</v>
      </c>
      <c r="E135" s="20" cm="1">
        <f t="array" ref="E135">'Delivery Details and calculatio'!$F$27</f>
        <v>41.61</v>
      </c>
      <c r="F135" s="20" cm="1">
        <f t="array" ref="F135">'Delivery Details and calculatio'!$F$28</f>
        <v>59.38</v>
      </c>
      <c r="G135" s="20" cm="1">
        <f t="array" ref="G135">'Delivery Details and calculatio'!$F$29</f>
        <v>77.09</v>
      </c>
      <c r="H135" s="20" cm="1">
        <f t="array" ref="H135">'Delivery Details and calculatio'!$F$30</f>
        <v>94.81</v>
      </c>
    </row>
    <row r="136" ht="13.65" customHeight="1">
      <c r="A136" t="s" s="32">
        <v>201</v>
      </c>
      <c r="B136" s="33">
        <v>2</v>
      </c>
      <c r="C136" t="s" s="32">
        <v>71</v>
      </c>
      <c r="D136" s="20" cm="1">
        <f t="array" ref="D136">'Delivery Details and calculatio'!$B$26</f>
        <v>19.57</v>
      </c>
      <c r="E136" s="20" cm="1">
        <f t="array" ref="E136">'Delivery Details and calculatio'!$B$27</f>
        <v>25.51</v>
      </c>
      <c r="F136" s="20" cm="1">
        <f t="array" ref="F136">'Delivery Details and calculatio'!$B$28</f>
        <v>37.43</v>
      </c>
      <c r="G136" s="20" cm="1">
        <f t="array" ref="G136">'Delivery Details and calculatio'!$B$29</f>
        <v>49.35</v>
      </c>
      <c r="H136" s="20" cm="1">
        <f t="array" ref="H136">'Delivery Details and calculatio'!$B$30</f>
        <v>61.28</v>
      </c>
    </row>
    <row r="137" ht="13.65" customHeight="1">
      <c r="A137" t="s" s="32">
        <v>202</v>
      </c>
      <c r="B137" s="33">
        <v>5</v>
      </c>
      <c r="C137" t="s" s="32">
        <v>66</v>
      </c>
      <c r="D137" s="20" cm="1">
        <f t="array" ref="D137">'Delivery Details and calculatio'!$F$26</f>
        <v>32.73</v>
      </c>
      <c r="E137" s="20" cm="1">
        <f t="array" ref="E137">'Delivery Details and calculatio'!$F$27</f>
        <v>41.61</v>
      </c>
      <c r="F137" s="20" cm="1">
        <f t="array" ref="F137">'Delivery Details and calculatio'!$F$28</f>
        <v>59.38</v>
      </c>
      <c r="G137" s="20" cm="1">
        <f t="array" ref="G137">'Delivery Details and calculatio'!$F$29</f>
        <v>77.09</v>
      </c>
      <c r="H137" s="20" cm="1">
        <f t="array" ref="H137">'Delivery Details and calculatio'!$F$30</f>
        <v>94.81</v>
      </c>
    </row>
    <row r="138" ht="13.65" customHeight="1">
      <c r="A138" t="s" s="32">
        <v>203</v>
      </c>
      <c r="B138" s="33">
        <v>4</v>
      </c>
      <c r="C138" t="s" s="32">
        <v>68</v>
      </c>
      <c r="D138" s="20" cm="1">
        <f t="array" ref="D138">'Delivery Details and calculatio'!$D$26</f>
        <v>26.98</v>
      </c>
      <c r="E138" s="20" cm="1">
        <f t="array" ref="E138">'Delivery Details and calculatio'!$D$27</f>
        <v>33.77</v>
      </c>
      <c r="F138" s="20" cm="1">
        <f t="array" ref="F138">'Delivery Details and calculatio'!$D$28</f>
        <v>47.41</v>
      </c>
      <c r="G138" s="20" cm="1">
        <f t="array" ref="G138">'Delivery Details and calculatio'!$D$29</f>
        <v>60.99</v>
      </c>
      <c r="H138" s="20" cm="1">
        <f t="array" ref="H138">'Delivery Details and calculatio'!$D$30</f>
        <v>74.58</v>
      </c>
    </row>
    <row r="139" ht="13.65" customHeight="1">
      <c r="A139" t="s" s="32">
        <v>204</v>
      </c>
      <c r="B139" s="33">
        <v>5</v>
      </c>
      <c r="C139" t="s" s="32">
        <v>66</v>
      </c>
      <c r="D139" s="20" cm="1">
        <f t="array" ref="D139">'Delivery Details and calculatio'!$F$26</f>
        <v>32.73</v>
      </c>
      <c r="E139" s="20" cm="1">
        <f t="array" ref="E139">'Delivery Details and calculatio'!$F$27</f>
        <v>41.61</v>
      </c>
      <c r="F139" s="20" cm="1">
        <f t="array" ref="F139">'Delivery Details and calculatio'!$F$28</f>
        <v>59.38</v>
      </c>
      <c r="G139" s="20" cm="1">
        <f t="array" ref="G139">'Delivery Details and calculatio'!$F$29</f>
        <v>77.09</v>
      </c>
      <c r="H139" s="20" cm="1">
        <f t="array" ref="H139">'Delivery Details and calculatio'!$F$30</f>
        <v>94.81</v>
      </c>
    </row>
    <row r="140" ht="13.65" customHeight="1">
      <c r="A140" t="s" s="32">
        <v>205</v>
      </c>
      <c r="B140" s="33">
        <v>4</v>
      </c>
      <c r="C140" t="s" s="32">
        <v>68</v>
      </c>
      <c r="D140" s="20" cm="1">
        <f t="array" ref="D140">'Delivery Details and calculatio'!$D$26</f>
        <v>26.98</v>
      </c>
      <c r="E140" s="20" cm="1">
        <f t="array" ref="E140">'Delivery Details and calculatio'!$D$27</f>
        <v>33.77</v>
      </c>
      <c r="F140" s="20" cm="1">
        <f t="array" ref="F140">'Delivery Details and calculatio'!$D$28</f>
        <v>47.41</v>
      </c>
      <c r="G140" s="20" cm="1">
        <f t="array" ref="G140">'Delivery Details and calculatio'!$D$29</f>
        <v>60.99</v>
      </c>
      <c r="H140" s="20" cm="1">
        <f t="array" ref="H140">'Delivery Details and calculatio'!$D$30</f>
        <v>74.58</v>
      </c>
    </row>
    <row r="141" ht="13.65" customHeight="1">
      <c r="A141" t="s" s="32">
        <v>206</v>
      </c>
      <c r="B141" s="33">
        <v>5</v>
      </c>
      <c r="C141" t="s" s="32">
        <v>66</v>
      </c>
      <c r="D141" s="20" cm="1">
        <f t="array" ref="D141">'Delivery Details and calculatio'!$F$26</f>
        <v>32.73</v>
      </c>
      <c r="E141" s="20" cm="1">
        <f t="array" ref="E141">'Delivery Details and calculatio'!$F$27</f>
        <v>41.61</v>
      </c>
      <c r="F141" s="20" cm="1">
        <f t="array" ref="F141">'Delivery Details and calculatio'!$F$28</f>
        <v>59.38</v>
      </c>
      <c r="G141" s="20" cm="1">
        <f t="array" ref="G141">'Delivery Details and calculatio'!$F$29</f>
        <v>77.09</v>
      </c>
      <c r="H141" s="20" cm="1">
        <f t="array" ref="H141">'Delivery Details and calculatio'!$F$30</f>
        <v>94.81</v>
      </c>
    </row>
    <row r="142" ht="13.65" customHeight="1">
      <c r="A142" t="s" s="32">
        <v>207</v>
      </c>
      <c r="B142" s="33">
        <v>5</v>
      </c>
      <c r="C142" t="s" s="32">
        <v>66</v>
      </c>
      <c r="D142" s="20" cm="1">
        <f t="array" ref="D142">'Delivery Details and calculatio'!$F$26</f>
        <v>32.73</v>
      </c>
      <c r="E142" s="20" cm="1">
        <f t="array" ref="E142">'Delivery Details and calculatio'!$F$27</f>
        <v>41.61</v>
      </c>
      <c r="F142" s="20" cm="1">
        <f t="array" ref="F142">'Delivery Details and calculatio'!$F$28</f>
        <v>59.38</v>
      </c>
      <c r="G142" s="20" cm="1">
        <f t="array" ref="G142">'Delivery Details and calculatio'!$F$29</f>
        <v>77.09</v>
      </c>
      <c r="H142" s="20" cm="1">
        <f t="array" ref="H142">'Delivery Details and calculatio'!$F$30</f>
        <v>94.81</v>
      </c>
    </row>
    <row r="143" ht="13.65" customHeight="1">
      <c r="A143" t="s" s="32">
        <v>208</v>
      </c>
      <c r="B143" s="33">
        <v>5</v>
      </c>
      <c r="C143" t="s" s="32">
        <v>66</v>
      </c>
      <c r="D143" s="20" cm="1">
        <f t="array" ref="D143">'Delivery Details and calculatio'!$F$26</f>
        <v>32.73</v>
      </c>
      <c r="E143" s="20" cm="1">
        <f t="array" ref="E143">'Delivery Details and calculatio'!$F$27</f>
        <v>41.61</v>
      </c>
      <c r="F143" s="20" cm="1">
        <f t="array" ref="F143">'Delivery Details and calculatio'!$F$28</f>
        <v>59.38</v>
      </c>
      <c r="G143" s="20" cm="1">
        <f t="array" ref="G143">'Delivery Details and calculatio'!$F$29</f>
        <v>77.09</v>
      </c>
      <c r="H143" s="20" cm="1">
        <f t="array" ref="H143">'Delivery Details and calculatio'!$F$30</f>
        <v>94.81</v>
      </c>
    </row>
    <row r="144" ht="13.65" customHeight="1">
      <c r="A144" t="s" s="32">
        <v>209</v>
      </c>
      <c r="B144" s="33">
        <v>2</v>
      </c>
      <c r="C144" t="s" s="32">
        <v>71</v>
      </c>
      <c r="D144" s="20" cm="1">
        <f t="array" ref="D144">'Delivery Details and calculatio'!$B$26</f>
        <v>19.57</v>
      </c>
      <c r="E144" s="20" cm="1">
        <f t="array" ref="E144">'Delivery Details and calculatio'!$B$27</f>
        <v>25.51</v>
      </c>
      <c r="F144" s="20" cm="1">
        <f t="array" ref="F144">'Delivery Details and calculatio'!$B$28</f>
        <v>37.43</v>
      </c>
      <c r="G144" s="20" cm="1">
        <f t="array" ref="G144">'Delivery Details and calculatio'!$B$29</f>
        <v>49.35</v>
      </c>
      <c r="H144" s="20" cm="1">
        <f t="array" ref="H144">'Delivery Details and calculatio'!$B$30</f>
        <v>61.28</v>
      </c>
    </row>
    <row r="145" ht="13.65" customHeight="1">
      <c r="A145" t="s" s="32">
        <v>210</v>
      </c>
      <c r="B145" s="33">
        <v>5</v>
      </c>
      <c r="C145" t="s" s="32">
        <v>66</v>
      </c>
      <c r="D145" s="20" cm="1">
        <f t="array" ref="D145">'Delivery Details and calculatio'!$F$26</f>
        <v>32.73</v>
      </c>
      <c r="E145" s="20" cm="1">
        <f t="array" ref="E145">'Delivery Details and calculatio'!$F$27</f>
        <v>41.61</v>
      </c>
      <c r="F145" s="20" cm="1">
        <f t="array" ref="F145">'Delivery Details and calculatio'!$F$28</f>
        <v>59.38</v>
      </c>
      <c r="G145" s="20" cm="1">
        <f t="array" ref="G145">'Delivery Details and calculatio'!$F$29</f>
        <v>77.09</v>
      </c>
      <c r="H145" s="20" cm="1">
        <f t="array" ref="H145">'Delivery Details and calculatio'!$F$30</f>
        <v>94.81</v>
      </c>
    </row>
    <row r="146" ht="13.65" customHeight="1">
      <c r="A146" t="s" s="32">
        <v>211</v>
      </c>
      <c r="B146" s="33">
        <v>2</v>
      </c>
      <c r="C146" t="s" s="32">
        <v>71</v>
      </c>
      <c r="D146" s="20" cm="1">
        <f t="array" ref="D146">'Delivery Details and calculatio'!$B$26</f>
        <v>19.57</v>
      </c>
      <c r="E146" s="20" cm="1">
        <f t="array" ref="E146">'Delivery Details and calculatio'!$B$27</f>
        <v>25.51</v>
      </c>
      <c r="F146" s="20" cm="1">
        <f t="array" ref="F146">'Delivery Details and calculatio'!$B$28</f>
        <v>37.43</v>
      </c>
      <c r="G146" s="20" cm="1">
        <f t="array" ref="G146">'Delivery Details and calculatio'!$B$29</f>
        <v>49.35</v>
      </c>
      <c r="H146" s="20" cm="1">
        <f t="array" ref="H146">'Delivery Details and calculatio'!$B$30</f>
        <v>61.28</v>
      </c>
    </row>
    <row r="147" ht="13.65" customHeight="1">
      <c r="A147" t="s" s="32">
        <v>212</v>
      </c>
      <c r="B147" s="33">
        <v>2</v>
      </c>
      <c r="C147" t="s" s="32">
        <v>71</v>
      </c>
      <c r="D147" s="20" cm="1">
        <f t="array" ref="D147">'Delivery Details and calculatio'!$B$26</f>
        <v>19.57</v>
      </c>
      <c r="E147" s="20" cm="1">
        <f t="array" ref="E147">'Delivery Details and calculatio'!$B$27</f>
        <v>25.51</v>
      </c>
      <c r="F147" s="20" cm="1">
        <f t="array" ref="F147">'Delivery Details and calculatio'!$B$28</f>
        <v>37.43</v>
      </c>
      <c r="G147" s="20" cm="1">
        <f t="array" ref="G147">'Delivery Details and calculatio'!$B$29</f>
        <v>49.35</v>
      </c>
      <c r="H147" s="20" cm="1">
        <f t="array" ref="H147">'Delivery Details and calculatio'!$B$30</f>
        <v>61.28</v>
      </c>
    </row>
    <row r="148" ht="13.65" customHeight="1">
      <c r="A148" t="s" s="32">
        <v>213</v>
      </c>
      <c r="B148" s="33">
        <v>4</v>
      </c>
      <c r="C148" t="s" s="32">
        <v>68</v>
      </c>
      <c r="D148" s="20" cm="1">
        <f t="array" ref="D148">'Delivery Details and calculatio'!$D$26</f>
        <v>26.98</v>
      </c>
      <c r="E148" s="20" cm="1">
        <f t="array" ref="E148">'Delivery Details and calculatio'!$D$27</f>
        <v>33.77</v>
      </c>
      <c r="F148" s="20" cm="1">
        <f t="array" ref="F148">'Delivery Details and calculatio'!$D$28</f>
        <v>47.41</v>
      </c>
      <c r="G148" s="20" cm="1">
        <f t="array" ref="G148">'Delivery Details and calculatio'!$D$29</f>
        <v>60.99</v>
      </c>
      <c r="H148" s="20" cm="1">
        <f t="array" ref="H148">'Delivery Details and calculatio'!$D$30</f>
        <v>74.58</v>
      </c>
    </row>
    <row r="149" ht="13.65" customHeight="1">
      <c r="A149" t="s" s="32">
        <v>214</v>
      </c>
      <c r="B149" s="33">
        <v>2</v>
      </c>
      <c r="C149" t="s" s="32">
        <v>71</v>
      </c>
      <c r="D149" s="20" cm="1">
        <f t="array" ref="D149">'Delivery Details and calculatio'!$B$26</f>
        <v>19.57</v>
      </c>
      <c r="E149" s="20" cm="1">
        <f t="array" ref="E149">'Delivery Details and calculatio'!$B$27</f>
        <v>25.51</v>
      </c>
      <c r="F149" s="20" cm="1">
        <f t="array" ref="F149">'Delivery Details and calculatio'!$B$28</f>
        <v>37.43</v>
      </c>
      <c r="G149" s="20" cm="1">
        <f t="array" ref="G149">'Delivery Details and calculatio'!$B$29</f>
        <v>49.35</v>
      </c>
      <c r="H149" s="20" cm="1">
        <f t="array" ref="H149">'Delivery Details and calculatio'!$B$30</f>
        <v>61.28</v>
      </c>
    </row>
    <row r="150" ht="13.65" customHeight="1">
      <c r="A150" t="s" s="32">
        <v>215</v>
      </c>
      <c r="B150" s="33">
        <v>1</v>
      </c>
      <c r="C150" t="s" s="32">
        <v>216</v>
      </c>
      <c r="D150" s="20" cm="1">
        <f t="array" ref="D150">'Delivery Details and calculatio'!$B$17</f>
        <v>17.01</v>
      </c>
      <c r="E150" s="20" cm="1">
        <f t="array" ref="E150">'Delivery Details and calculatio'!$B$18</f>
        <v>20.52</v>
      </c>
      <c r="F150" s="20" cm="1">
        <f t="array" ref="F150">'Delivery Details and calculatio'!$B$19</f>
        <v>27.55</v>
      </c>
      <c r="G150" s="20" cm="1">
        <f t="array" ref="G150">'Delivery Details and calculatio'!$B$20</f>
        <v>34.58</v>
      </c>
      <c r="H150" s="20" cm="1">
        <f t="array" ref="H150">'Delivery Details and calculatio'!$B$21</f>
        <v>41.61</v>
      </c>
    </row>
    <row r="151" ht="13.65" customHeight="1">
      <c r="A151" t="s" s="32">
        <v>217</v>
      </c>
      <c r="B151" s="33">
        <v>5</v>
      </c>
      <c r="C151" t="s" s="32">
        <v>66</v>
      </c>
      <c r="D151" s="20" cm="1">
        <f t="array" ref="D151">'Delivery Details and calculatio'!$F$26</f>
        <v>32.73</v>
      </c>
      <c r="E151" s="20" cm="1">
        <f t="array" ref="E151">'Delivery Details and calculatio'!$F$27</f>
        <v>41.61</v>
      </c>
      <c r="F151" s="20" cm="1">
        <f t="array" ref="F151">'Delivery Details and calculatio'!$F$28</f>
        <v>59.38</v>
      </c>
      <c r="G151" s="20" cm="1">
        <f t="array" ref="G151">'Delivery Details and calculatio'!$F$29</f>
        <v>77.09</v>
      </c>
      <c r="H151" s="20" cm="1">
        <f t="array" ref="H151">'Delivery Details and calculatio'!$F$30</f>
        <v>94.81</v>
      </c>
    </row>
    <row r="152" ht="13.65" customHeight="1">
      <c r="A152" t="s" s="32">
        <v>218</v>
      </c>
      <c r="B152" s="33">
        <v>5</v>
      </c>
      <c r="C152" t="s" s="32">
        <v>66</v>
      </c>
      <c r="D152" s="20" cm="1">
        <f t="array" ref="D152">'Delivery Details and calculatio'!$F$26</f>
        <v>32.73</v>
      </c>
      <c r="E152" s="20" cm="1">
        <f t="array" ref="E152">'Delivery Details and calculatio'!$F$27</f>
        <v>41.61</v>
      </c>
      <c r="F152" s="20" cm="1">
        <f t="array" ref="F152">'Delivery Details and calculatio'!$F$28</f>
        <v>59.38</v>
      </c>
      <c r="G152" s="20" cm="1">
        <f t="array" ref="G152">'Delivery Details and calculatio'!$F$29</f>
        <v>77.09</v>
      </c>
      <c r="H152" s="20" cm="1">
        <f t="array" ref="H152">'Delivery Details and calculatio'!$F$30</f>
        <v>94.81</v>
      </c>
    </row>
    <row r="153" ht="13.65" customHeight="1">
      <c r="A153" t="s" s="32">
        <v>219</v>
      </c>
      <c r="B153" s="33">
        <v>5</v>
      </c>
      <c r="C153" t="s" s="32">
        <v>66</v>
      </c>
      <c r="D153" s="20" cm="1">
        <f t="array" ref="D153">'Delivery Details and calculatio'!$F$26</f>
        <v>32.73</v>
      </c>
      <c r="E153" s="20" cm="1">
        <f t="array" ref="E153">'Delivery Details and calculatio'!$F$27</f>
        <v>41.61</v>
      </c>
      <c r="F153" s="20" cm="1">
        <f t="array" ref="F153">'Delivery Details and calculatio'!$F$28</f>
        <v>59.38</v>
      </c>
      <c r="G153" s="20" cm="1">
        <f t="array" ref="G153">'Delivery Details and calculatio'!$F$29</f>
        <v>77.09</v>
      </c>
      <c r="H153" s="20" cm="1">
        <f t="array" ref="H153">'Delivery Details and calculatio'!$F$30</f>
        <v>94.81</v>
      </c>
    </row>
    <row r="154" ht="13.65" customHeight="1">
      <c r="A154" t="s" s="32">
        <v>220</v>
      </c>
      <c r="B154" s="33">
        <v>2</v>
      </c>
      <c r="C154" t="s" s="32">
        <v>71</v>
      </c>
      <c r="D154" s="20" cm="1">
        <f t="array" ref="D154">'Delivery Details and calculatio'!$B$26</f>
        <v>19.57</v>
      </c>
      <c r="E154" s="20" cm="1">
        <f t="array" ref="E154">'Delivery Details and calculatio'!$B$27</f>
        <v>25.51</v>
      </c>
      <c r="F154" s="20" cm="1">
        <f t="array" ref="F154">'Delivery Details and calculatio'!$B$28</f>
        <v>37.43</v>
      </c>
      <c r="G154" s="20" cm="1">
        <f t="array" ref="G154">'Delivery Details and calculatio'!$B$29</f>
        <v>49.35</v>
      </c>
      <c r="H154" s="20" cm="1">
        <f t="array" ref="H154">'Delivery Details and calculatio'!$B$30</f>
        <v>61.28</v>
      </c>
    </row>
    <row r="155" ht="13.65" customHeight="1">
      <c r="A155" t="s" s="32">
        <v>221</v>
      </c>
      <c r="B155" s="33">
        <v>2</v>
      </c>
      <c r="C155" t="s" s="32">
        <v>71</v>
      </c>
      <c r="D155" s="20" cm="1">
        <f t="array" ref="D155">'Delivery Details and calculatio'!$B$26</f>
        <v>19.57</v>
      </c>
      <c r="E155" s="20" cm="1">
        <f t="array" ref="E155">'Delivery Details and calculatio'!$B$27</f>
        <v>25.51</v>
      </c>
      <c r="F155" s="20" cm="1">
        <f t="array" ref="F155">'Delivery Details and calculatio'!$B$28</f>
        <v>37.43</v>
      </c>
      <c r="G155" s="20" cm="1">
        <f t="array" ref="G155">'Delivery Details and calculatio'!$B$29</f>
        <v>49.35</v>
      </c>
      <c r="H155" s="20" cm="1">
        <f t="array" ref="H155">'Delivery Details and calculatio'!$B$30</f>
        <v>61.28</v>
      </c>
    </row>
    <row r="156" ht="13.65" customHeight="1">
      <c r="A156" t="s" s="32">
        <v>222</v>
      </c>
      <c r="B156" s="33">
        <v>4</v>
      </c>
      <c r="C156" t="s" s="32">
        <v>68</v>
      </c>
      <c r="D156" s="20" cm="1">
        <f t="array" ref="D156">'Delivery Details and calculatio'!$D$26</f>
        <v>26.98</v>
      </c>
      <c r="E156" s="20" cm="1">
        <f t="array" ref="E156">'Delivery Details and calculatio'!$D$27</f>
        <v>33.77</v>
      </c>
      <c r="F156" s="20" cm="1">
        <f t="array" ref="F156">'Delivery Details and calculatio'!$D$28</f>
        <v>47.41</v>
      </c>
      <c r="G156" s="20" cm="1">
        <f t="array" ref="G156">'Delivery Details and calculatio'!$D$29</f>
        <v>60.99</v>
      </c>
      <c r="H156" s="20" cm="1">
        <f t="array" ref="H156">'Delivery Details and calculatio'!$D$30</f>
        <v>74.58</v>
      </c>
    </row>
    <row r="157" ht="13.65" customHeight="1">
      <c r="A157" t="s" s="32">
        <v>223</v>
      </c>
      <c r="B157" s="33">
        <v>2</v>
      </c>
      <c r="C157" t="s" s="32">
        <v>71</v>
      </c>
      <c r="D157" s="20" cm="1">
        <f t="array" ref="D157">'Delivery Details and calculatio'!$B$26</f>
        <v>19.57</v>
      </c>
      <c r="E157" s="20" cm="1">
        <f t="array" ref="E157">'Delivery Details and calculatio'!$B$27</f>
        <v>25.51</v>
      </c>
      <c r="F157" s="20" cm="1">
        <f t="array" ref="F157">'Delivery Details and calculatio'!$B$28</f>
        <v>37.43</v>
      </c>
      <c r="G157" s="20" cm="1">
        <f t="array" ref="G157">'Delivery Details and calculatio'!$B$29</f>
        <v>49.35</v>
      </c>
      <c r="H157" s="20" cm="1">
        <f t="array" ref="H157">'Delivery Details and calculatio'!$B$30</f>
        <v>61.28</v>
      </c>
    </row>
    <row r="158" ht="13.65" customHeight="1">
      <c r="A158" t="s" s="32">
        <v>224</v>
      </c>
      <c r="B158" s="33">
        <v>4</v>
      </c>
      <c r="C158" t="s" s="32">
        <v>68</v>
      </c>
      <c r="D158" s="20" cm="1">
        <f t="array" ref="D158">'Delivery Details and calculatio'!$D$26</f>
        <v>26.98</v>
      </c>
      <c r="E158" s="20" cm="1">
        <f t="array" ref="E158">'Delivery Details and calculatio'!$D$27</f>
        <v>33.77</v>
      </c>
      <c r="F158" s="20" cm="1">
        <f t="array" ref="F158">'Delivery Details and calculatio'!$D$28</f>
        <v>47.41</v>
      </c>
      <c r="G158" s="20" cm="1">
        <f t="array" ref="G158">'Delivery Details and calculatio'!$D$29</f>
        <v>60.99</v>
      </c>
      <c r="H158" s="20" cm="1">
        <f t="array" ref="H158">'Delivery Details and calculatio'!$D$30</f>
        <v>74.58</v>
      </c>
    </row>
    <row r="159" ht="13.65" customHeight="1">
      <c r="A159" t="s" s="32">
        <v>225</v>
      </c>
      <c r="B159" s="33">
        <v>5</v>
      </c>
      <c r="C159" t="s" s="32">
        <v>66</v>
      </c>
      <c r="D159" s="20" cm="1">
        <f t="array" ref="D159">'Delivery Details and calculatio'!$F$26</f>
        <v>32.73</v>
      </c>
      <c r="E159" s="20" cm="1">
        <f t="array" ref="E159">'Delivery Details and calculatio'!$F$27</f>
        <v>41.61</v>
      </c>
      <c r="F159" s="20" cm="1">
        <f t="array" ref="F159">'Delivery Details and calculatio'!$F$28</f>
        <v>59.38</v>
      </c>
      <c r="G159" s="20" cm="1">
        <f t="array" ref="G159">'Delivery Details and calculatio'!$F$29</f>
        <v>77.09</v>
      </c>
      <c r="H159" s="20" cm="1">
        <f t="array" ref="H159">'Delivery Details and calculatio'!$F$30</f>
        <v>94.81</v>
      </c>
    </row>
    <row r="160" ht="13.65" customHeight="1">
      <c r="A160" t="s" s="32">
        <v>226</v>
      </c>
      <c r="B160" s="33">
        <v>2</v>
      </c>
      <c r="C160" t="s" s="32">
        <v>71</v>
      </c>
      <c r="D160" s="20" cm="1">
        <f t="array" ref="D160">'Delivery Details and calculatio'!$B$26</f>
        <v>19.57</v>
      </c>
      <c r="E160" s="20" cm="1">
        <f t="array" ref="E160">'Delivery Details and calculatio'!$B$27</f>
        <v>25.51</v>
      </c>
      <c r="F160" s="20" cm="1">
        <f t="array" ref="F160">'Delivery Details and calculatio'!$B$28</f>
        <v>37.43</v>
      </c>
      <c r="G160" s="20" cm="1">
        <f t="array" ref="G160">'Delivery Details and calculatio'!$B$29</f>
        <v>49.35</v>
      </c>
      <c r="H160" s="20" cm="1">
        <f t="array" ref="H160">'Delivery Details and calculatio'!$B$30</f>
        <v>61.28</v>
      </c>
    </row>
    <row r="161" ht="13.65" customHeight="1">
      <c r="A161" t="s" s="32">
        <v>227</v>
      </c>
      <c r="B161" s="33">
        <v>2</v>
      </c>
      <c r="C161" t="s" s="32">
        <v>71</v>
      </c>
      <c r="D161" s="20" cm="1">
        <f t="array" ref="D161">'Delivery Details and calculatio'!$B$26</f>
        <v>19.57</v>
      </c>
      <c r="E161" s="20" cm="1">
        <f t="array" ref="E161">'Delivery Details and calculatio'!$B$27</f>
        <v>25.51</v>
      </c>
      <c r="F161" s="20" cm="1">
        <f t="array" ref="F161">'Delivery Details and calculatio'!$B$28</f>
        <v>37.43</v>
      </c>
      <c r="G161" s="20" cm="1">
        <f t="array" ref="G161">'Delivery Details and calculatio'!$B$29</f>
        <v>49.35</v>
      </c>
      <c r="H161" s="20" cm="1">
        <f t="array" ref="H161">'Delivery Details and calculatio'!$B$30</f>
        <v>61.28</v>
      </c>
    </row>
    <row r="162" ht="13.65" customHeight="1">
      <c r="A162" t="s" s="32">
        <v>228</v>
      </c>
      <c r="B162" s="33">
        <v>5</v>
      </c>
      <c r="C162" t="s" s="32">
        <v>66</v>
      </c>
      <c r="D162" s="20" cm="1">
        <f t="array" ref="D162">'Delivery Details and calculatio'!$F$26</f>
        <v>32.73</v>
      </c>
      <c r="E162" s="20" cm="1">
        <f t="array" ref="E162">'Delivery Details and calculatio'!$F$27</f>
        <v>41.61</v>
      </c>
      <c r="F162" s="20" cm="1">
        <f t="array" ref="F162">'Delivery Details and calculatio'!$F$28</f>
        <v>59.38</v>
      </c>
      <c r="G162" s="20" cm="1">
        <f t="array" ref="G162">'Delivery Details and calculatio'!$F$29</f>
        <v>77.09</v>
      </c>
      <c r="H162" s="20" cm="1">
        <f t="array" ref="H162">'Delivery Details and calculatio'!$F$30</f>
        <v>94.81</v>
      </c>
    </row>
    <row r="163" ht="13.65" customHeight="1">
      <c r="A163" t="s" s="32">
        <v>229</v>
      </c>
      <c r="B163" s="33">
        <v>2</v>
      </c>
      <c r="C163" t="s" s="32">
        <v>71</v>
      </c>
      <c r="D163" s="20" cm="1">
        <f t="array" ref="D163">'Delivery Details and calculatio'!$B$26</f>
        <v>19.57</v>
      </c>
      <c r="E163" s="20" cm="1">
        <f t="array" ref="E163">'Delivery Details and calculatio'!$B$27</f>
        <v>25.51</v>
      </c>
      <c r="F163" s="20" cm="1">
        <f t="array" ref="F163">'Delivery Details and calculatio'!$B$28</f>
        <v>37.43</v>
      </c>
      <c r="G163" s="20" cm="1">
        <f t="array" ref="G163">'Delivery Details and calculatio'!$B$29</f>
        <v>49.35</v>
      </c>
      <c r="H163" s="20" cm="1">
        <f t="array" ref="H163">'Delivery Details and calculatio'!$B$30</f>
        <v>61.28</v>
      </c>
    </row>
    <row r="164" ht="13.65" customHeight="1">
      <c r="A164" t="s" s="32">
        <v>230</v>
      </c>
      <c r="B164" s="33">
        <v>5</v>
      </c>
      <c r="C164" t="s" s="32">
        <v>66</v>
      </c>
      <c r="D164" s="20" cm="1">
        <f t="array" ref="D164">'Delivery Details and calculatio'!$F$26</f>
        <v>32.73</v>
      </c>
      <c r="E164" s="20" cm="1">
        <f t="array" ref="E164">'Delivery Details and calculatio'!$F$27</f>
        <v>41.61</v>
      </c>
      <c r="F164" s="20" cm="1">
        <f t="array" ref="F164">'Delivery Details and calculatio'!$F$28</f>
        <v>59.38</v>
      </c>
      <c r="G164" s="20" cm="1">
        <f t="array" ref="G164">'Delivery Details and calculatio'!$F$29</f>
        <v>77.09</v>
      </c>
      <c r="H164" s="20" cm="1">
        <f t="array" ref="H164">'Delivery Details and calculatio'!$F$30</f>
        <v>94.81</v>
      </c>
    </row>
    <row r="165" ht="13.65" customHeight="1">
      <c r="A165" t="s" s="32">
        <v>231</v>
      </c>
      <c r="B165" s="33">
        <v>5</v>
      </c>
      <c r="C165" t="s" s="32">
        <v>66</v>
      </c>
      <c r="D165" s="20" cm="1">
        <f t="array" ref="D165">'Delivery Details and calculatio'!$F$26</f>
        <v>32.73</v>
      </c>
      <c r="E165" s="20" cm="1">
        <f t="array" ref="E165">'Delivery Details and calculatio'!$F$27</f>
        <v>41.61</v>
      </c>
      <c r="F165" s="20" cm="1">
        <f t="array" ref="F165">'Delivery Details and calculatio'!$F$28</f>
        <v>59.38</v>
      </c>
      <c r="G165" s="20" cm="1">
        <f t="array" ref="G165">'Delivery Details and calculatio'!$F$29</f>
        <v>77.09</v>
      </c>
      <c r="H165" s="20" cm="1">
        <f t="array" ref="H165">'Delivery Details and calculatio'!$F$30</f>
        <v>94.81</v>
      </c>
    </row>
    <row r="166" ht="13.65" customHeight="1">
      <c r="A166" t="s" s="32">
        <v>232</v>
      </c>
      <c r="B166" s="33">
        <v>2</v>
      </c>
      <c r="C166" t="s" s="32">
        <v>71</v>
      </c>
      <c r="D166" s="20" cm="1">
        <f t="array" ref="D166">'Delivery Details and calculatio'!$B$26</f>
        <v>19.57</v>
      </c>
      <c r="E166" s="20" cm="1">
        <f t="array" ref="E166">'Delivery Details and calculatio'!$B$27</f>
        <v>25.51</v>
      </c>
      <c r="F166" s="20" cm="1">
        <f t="array" ref="F166">'Delivery Details and calculatio'!$B$28</f>
        <v>37.43</v>
      </c>
      <c r="G166" s="20" cm="1">
        <f t="array" ref="G166">'Delivery Details and calculatio'!$B$29</f>
        <v>49.35</v>
      </c>
      <c r="H166" s="20" cm="1">
        <f t="array" ref="H166">'Delivery Details and calculatio'!$B$30</f>
        <v>61.28</v>
      </c>
    </row>
    <row r="167" ht="13.65" customHeight="1">
      <c r="A167" t="s" s="32">
        <v>233</v>
      </c>
      <c r="B167" s="33">
        <v>2</v>
      </c>
      <c r="C167" t="s" s="32">
        <v>71</v>
      </c>
      <c r="D167" s="20" cm="1">
        <f t="array" ref="D167">'Delivery Details and calculatio'!$B$26</f>
        <v>19.57</v>
      </c>
      <c r="E167" s="20" cm="1">
        <f t="array" ref="E167">'Delivery Details and calculatio'!$B$27</f>
        <v>25.51</v>
      </c>
      <c r="F167" s="20" cm="1">
        <f t="array" ref="F167">'Delivery Details and calculatio'!$B$28</f>
        <v>37.43</v>
      </c>
      <c r="G167" s="20" cm="1">
        <f t="array" ref="G167">'Delivery Details and calculatio'!$B$29</f>
        <v>49.35</v>
      </c>
      <c r="H167" s="20" cm="1">
        <f t="array" ref="H167">'Delivery Details and calculatio'!$B$30</f>
        <v>61.28</v>
      </c>
    </row>
    <row r="168" ht="13.65" customHeight="1">
      <c r="A168" t="s" s="32">
        <v>234</v>
      </c>
      <c r="B168" s="33">
        <v>4</v>
      </c>
      <c r="C168" t="s" s="32">
        <v>68</v>
      </c>
      <c r="D168" s="20" cm="1">
        <f t="array" ref="D168">'Delivery Details and calculatio'!$D$26</f>
        <v>26.98</v>
      </c>
      <c r="E168" s="20" cm="1">
        <f t="array" ref="E168">'Delivery Details and calculatio'!$D$27</f>
        <v>33.77</v>
      </c>
      <c r="F168" s="20" cm="1">
        <f t="array" ref="F168">'Delivery Details and calculatio'!$D$28</f>
        <v>47.41</v>
      </c>
      <c r="G168" s="20" cm="1">
        <f t="array" ref="G168">'Delivery Details and calculatio'!$D$29</f>
        <v>60.99</v>
      </c>
      <c r="H168" s="20" cm="1">
        <f t="array" ref="H168">'Delivery Details and calculatio'!$D$30</f>
        <v>74.58</v>
      </c>
    </row>
    <row r="169" ht="13.65" customHeight="1">
      <c r="A169" t="s" s="32">
        <v>235</v>
      </c>
      <c r="B169" s="33">
        <v>4</v>
      </c>
      <c r="C169" t="s" s="32">
        <v>68</v>
      </c>
      <c r="D169" s="20" cm="1">
        <f t="array" ref="D169">'Delivery Details and calculatio'!$D$26</f>
        <v>26.98</v>
      </c>
      <c r="E169" s="20" cm="1">
        <f t="array" ref="E169">'Delivery Details and calculatio'!$D$27</f>
        <v>33.77</v>
      </c>
      <c r="F169" s="20" cm="1">
        <f t="array" ref="F169">'Delivery Details and calculatio'!$D$28</f>
        <v>47.41</v>
      </c>
      <c r="G169" s="20" cm="1">
        <f t="array" ref="G169">'Delivery Details and calculatio'!$D$29</f>
        <v>60.99</v>
      </c>
      <c r="H169" s="20" cm="1">
        <f t="array" ref="H169">'Delivery Details and calculatio'!$D$30</f>
        <v>74.58</v>
      </c>
    </row>
    <row r="170" ht="13.65" customHeight="1">
      <c r="A170" t="s" s="32">
        <v>236</v>
      </c>
      <c r="B170" s="33">
        <v>5</v>
      </c>
      <c r="C170" t="s" s="32">
        <v>66</v>
      </c>
      <c r="D170" s="20" cm="1">
        <f t="array" ref="D170">'Delivery Details and calculatio'!$F$26</f>
        <v>32.73</v>
      </c>
      <c r="E170" s="20" cm="1">
        <f t="array" ref="E170">'Delivery Details and calculatio'!$F$27</f>
        <v>41.61</v>
      </c>
      <c r="F170" s="20" cm="1">
        <f t="array" ref="F170">'Delivery Details and calculatio'!$F$28</f>
        <v>59.38</v>
      </c>
      <c r="G170" s="20" cm="1">
        <f t="array" ref="G170">'Delivery Details and calculatio'!$F$29</f>
        <v>77.09</v>
      </c>
      <c r="H170" s="20" cm="1">
        <f t="array" ref="H170">'Delivery Details and calculatio'!$F$30</f>
        <v>94.81</v>
      </c>
    </row>
    <row r="171" ht="13.65" customHeight="1">
      <c r="A171" t="s" s="32">
        <v>237</v>
      </c>
      <c r="B171" s="33">
        <v>5</v>
      </c>
      <c r="C171" t="s" s="32">
        <v>66</v>
      </c>
      <c r="D171" s="20" cm="1">
        <f t="array" ref="D171">'Delivery Details and calculatio'!$F$26</f>
        <v>32.73</v>
      </c>
      <c r="E171" s="20" cm="1">
        <f t="array" ref="E171">'Delivery Details and calculatio'!$F$27</f>
        <v>41.61</v>
      </c>
      <c r="F171" s="20" cm="1">
        <f t="array" ref="F171">'Delivery Details and calculatio'!$F$28</f>
        <v>59.38</v>
      </c>
      <c r="G171" s="20" cm="1">
        <f t="array" ref="G171">'Delivery Details and calculatio'!$F$29</f>
        <v>77.09</v>
      </c>
      <c r="H171" s="20" cm="1">
        <f t="array" ref="H171">'Delivery Details and calculatio'!$F$30</f>
        <v>94.81</v>
      </c>
    </row>
    <row r="172" ht="13.65" customHeight="1">
      <c r="A172" t="s" s="32">
        <v>238</v>
      </c>
      <c r="B172" s="33">
        <v>5</v>
      </c>
      <c r="C172" t="s" s="32">
        <v>66</v>
      </c>
      <c r="D172" s="20" cm="1">
        <f t="array" ref="D172">'Delivery Details and calculatio'!$F$26</f>
        <v>32.73</v>
      </c>
      <c r="E172" s="20" cm="1">
        <f t="array" ref="E172">'Delivery Details and calculatio'!$F$27</f>
        <v>41.61</v>
      </c>
      <c r="F172" s="20" cm="1">
        <f t="array" ref="F172">'Delivery Details and calculatio'!$F$28</f>
        <v>59.38</v>
      </c>
      <c r="G172" s="20" cm="1">
        <f t="array" ref="G172">'Delivery Details and calculatio'!$F$29</f>
        <v>77.09</v>
      </c>
      <c r="H172" s="20" cm="1">
        <f t="array" ref="H172">'Delivery Details and calculatio'!$F$30</f>
        <v>94.81</v>
      </c>
    </row>
    <row r="173" ht="13.65" customHeight="1">
      <c r="A173" t="s" s="32">
        <v>239</v>
      </c>
      <c r="B173" s="33">
        <v>4</v>
      </c>
      <c r="C173" t="s" s="32">
        <v>68</v>
      </c>
      <c r="D173" s="20" cm="1">
        <f t="array" ref="D173">'Delivery Details and calculatio'!$D$26</f>
        <v>26.98</v>
      </c>
      <c r="E173" s="20" cm="1">
        <f t="array" ref="E173">'Delivery Details and calculatio'!$D$27</f>
        <v>33.77</v>
      </c>
      <c r="F173" s="20" cm="1">
        <f t="array" ref="F173">'Delivery Details and calculatio'!$D$28</f>
        <v>47.41</v>
      </c>
      <c r="G173" s="20" cm="1">
        <f t="array" ref="G173">'Delivery Details and calculatio'!$D$29</f>
        <v>60.99</v>
      </c>
      <c r="H173" s="20" cm="1">
        <f t="array" ref="H173">'Delivery Details and calculatio'!$D$30</f>
        <v>74.58</v>
      </c>
    </row>
    <row r="174" ht="13.65" customHeight="1">
      <c r="A174" t="s" s="32">
        <v>240</v>
      </c>
      <c r="B174" s="33">
        <v>4</v>
      </c>
      <c r="C174" t="s" s="32">
        <v>68</v>
      </c>
      <c r="D174" s="20" cm="1">
        <f t="array" ref="D174">'Delivery Details and calculatio'!$D$26</f>
        <v>26.98</v>
      </c>
      <c r="E174" s="20" cm="1">
        <f t="array" ref="E174">'Delivery Details and calculatio'!$D$27</f>
        <v>33.77</v>
      </c>
      <c r="F174" s="20" cm="1">
        <f t="array" ref="F174">'Delivery Details and calculatio'!$D$28</f>
        <v>47.41</v>
      </c>
      <c r="G174" s="20" cm="1">
        <f t="array" ref="G174">'Delivery Details and calculatio'!$D$29</f>
        <v>60.99</v>
      </c>
      <c r="H174" s="20" cm="1">
        <f t="array" ref="H174">'Delivery Details and calculatio'!$D$30</f>
        <v>74.58</v>
      </c>
    </row>
    <row r="175" ht="13.65" customHeight="1">
      <c r="A175" t="s" s="32">
        <v>241</v>
      </c>
      <c r="B175" s="33">
        <v>5</v>
      </c>
      <c r="C175" t="s" s="32">
        <v>66</v>
      </c>
      <c r="D175" s="20" cm="1">
        <f t="array" ref="D175">'Delivery Details and calculatio'!$F$26</f>
        <v>32.73</v>
      </c>
      <c r="E175" s="20" cm="1">
        <f t="array" ref="E175">'Delivery Details and calculatio'!$F$27</f>
        <v>41.61</v>
      </c>
      <c r="F175" s="20" cm="1">
        <f t="array" ref="F175">'Delivery Details and calculatio'!$F$28</f>
        <v>59.38</v>
      </c>
      <c r="G175" s="20" cm="1">
        <f t="array" ref="G175">'Delivery Details and calculatio'!$F$29</f>
        <v>77.09</v>
      </c>
      <c r="H175" s="20" cm="1">
        <f t="array" ref="H175">'Delivery Details and calculatio'!$F$30</f>
        <v>94.81</v>
      </c>
    </row>
    <row r="176" ht="13.65" customHeight="1">
      <c r="A176" t="s" s="32">
        <v>242</v>
      </c>
      <c r="B176" s="33">
        <v>5</v>
      </c>
      <c r="C176" t="s" s="32">
        <v>66</v>
      </c>
      <c r="D176" s="20" cm="1">
        <f t="array" ref="D176">'Delivery Details and calculatio'!$F$26</f>
        <v>32.73</v>
      </c>
      <c r="E176" s="20" cm="1">
        <f t="array" ref="E176">'Delivery Details and calculatio'!$F$27</f>
        <v>41.61</v>
      </c>
      <c r="F176" s="20" cm="1">
        <f t="array" ref="F176">'Delivery Details and calculatio'!$F$28</f>
        <v>59.38</v>
      </c>
      <c r="G176" s="20" cm="1">
        <f t="array" ref="G176">'Delivery Details and calculatio'!$F$29</f>
        <v>77.09</v>
      </c>
      <c r="H176" s="20" cm="1">
        <f t="array" ref="H176">'Delivery Details and calculatio'!$F$30</f>
        <v>94.81</v>
      </c>
    </row>
    <row r="177" ht="13.65" customHeight="1">
      <c r="A177" t="s" s="32">
        <v>243</v>
      </c>
      <c r="B177" s="33">
        <v>5</v>
      </c>
      <c r="C177" t="s" s="32">
        <v>66</v>
      </c>
      <c r="D177" s="20" cm="1">
        <f t="array" ref="D177">'Delivery Details and calculatio'!$F$26</f>
        <v>32.73</v>
      </c>
      <c r="E177" s="20" cm="1">
        <f t="array" ref="E177">'Delivery Details and calculatio'!$F$27</f>
        <v>41.61</v>
      </c>
      <c r="F177" s="20" cm="1">
        <f t="array" ref="F177">'Delivery Details and calculatio'!$F$28</f>
        <v>59.38</v>
      </c>
      <c r="G177" s="20" cm="1">
        <f t="array" ref="G177">'Delivery Details and calculatio'!$F$29</f>
        <v>77.09</v>
      </c>
      <c r="H177" s="20" cm="1">
        <f t="array" ref="H177">'Delivery Details and calculatio'!$F$30</f>
        <v>94.81</v>
      </c>
    </row>
    <row r="178" ht="13.65" customHeight="1">
      <c r="A178" t="s" s="32">
        <v>244</v>
      </c>
      <c r="B178" s="33">
        <v>5</v>
      </c>
      <c r="C178" t="s" s="32">
        <v>66</v>
      </c>
      <c r="D178" s="20" cm="1">
        <f t="array" ref="D178">'Delivery Details and calculatio'!$F$26</f>
        <v>32.73</v>
      </c>
      <c r="E178" s="20" cm="1">
        <f t="array" ref="E178">'Delivery Details and calculatio'!$F$27</f>
        <v>41.61</v>
      </c>
      <c r="F178" s="20" cm="1">
        <f t="array" ref="F178">'Delivery Details and calculatio'!$F$28</f>
        <v>59.38</v>
      </c>
      <c r="G178" s="20" cm="1">
        <f t="array" ref="G178">'Delivery Details and calculatio'!$F$29</f>
        <v>77.09</v>
      </c>
      <c r="H178" s="20" cm="1">
        <f t="array" ref="H178">'Delivery Details and calculatio'!$F$30</f>
        <v>94.81</v>
      </c>
    </row>
    <row r="179" ht="13.65" customHeight="1">
      <c r="A179" t="s" s="32">
        <v>245</v>
      </c>
      <c r="B179" s="33">
        <v>5</v>
      </c>
      <c r="C179" t="s" s="32">
        <v>66</v>
      </c>
      <c r="D179" s="20" cm="1">
        <f t="array" ref="D179">'Delivery Details and calculatio'!$F$26</f>
        <v>32.73</v>
      </c>
      <c r="E179" s="20" cm="1">
        <f t="array" ref="E179">'Delivery Details and calculatio'!$F$27</f>
        <v>41.61</v>
      </c>
      <c r="F179" s="20" cm="1">
        <f t="array" ref="F179">'Delivery Details and calculatio'!$F$28</f>
        <v>59.38</v>
      </c>
      <c r="G179" s="20" cm="1">
        <f t="array" ref="G179">'Delivery Details and calculatio'!$F$29</f>
        <v>77.09</v>
      </c>
      <c r="H179" s="20" cm="1">
        <f t="array" ref="H179">'Delivery Details and calculatio'!$F$30</f>
        <v>94.81</v>
      </c>
    </row>
    <row r="180" ht="13.65" customHeight="1">
      <c r="A180" t="s" s="32">
        <v>246</v>
      </c>
      <c r="B180" s="33">
        <v>5</v>
      </c>
      <c r="C180" t="s" s="32">
        <v>66</v>
      </c>
      <c r="D180" s="20" cm="1">
        <f t="array" ref="D180">'Delivery Details and calculatio'!$F$26</f>
        <v>32.73</v>
      </c>
      <c r="E180" s="20" cm="1">
        <f t="array" ref="E180">'Delivery Details and calculatio'!$F$27</f>
        <v>41.61</v>
      </c>
      <c r="F180" s="20" cm="1">
        <f t="array" ref="F180">'Delivery Details and calculatio'!$F$28</f>
        <v>59.38</v>
      </c>
      <c r="G180" s="20" cm="1">
        <f t="array" ref="G180">'Delivery Details and calculatio'!$F$29</f>
        <v>77.09</v>
      </c>
      <c r="H180" s="20" cm="1">
        <f t="array" ref="H180">'Delivery Details and calculatio'!$F$30</f>
        <v>94.81</v>
      </c>
    </row>
    <row r="181" ht="13.65" customHeight="1">
      <c r="A181" t="s" s="32">
        <v>247</v>
      </c>
      <c r="B181" s="33">
        <v>5</v>
      </c>
      <c r="C181" t="s" s="32">
        <v>66</v>
      </c>
      <c r="D181" s="20" cm="1">
        <f t="array" ref="D181">'Delivery Details and calculatio'!$F$26</f>
        <v>32.73</v>
      </c>
      <c r="E181" s="20" cm="1">
        <f t="array" ref="E181">'Delivery Details and calculatio'!$F$27</f>
        <v>41.61</v>
      </c>
      <c r="F181" s="20" cm="1">
        <f t="array" ref="F181">'Delivery Details and calculatio'!$F$28</f>
        <v>59.38</v>
      </c>
      <c r="G181" s="20" cm="1">
        <f t="array" ref="G181">'Delivery Details and calculatio'!$F$29</f>
        <v>77.09</v>
      </c>
      <c r="H181" s="20" cm="1">
        <f t="array" ref="H181">'Delivery Details and calculatio'!$F$30</f>
        <v>94.81</v>
      </c>
    </row>
    <row r="182" ht="13.65" customHeight="1">
      <c r="A182" t="s" s="32">
        <v>248</v>
      </c>
      <c r="B182" s="33">
        <v>2</v>
      </c>
      <c r="C182" t="s" s="32">
        <v>71</v>
      </c>
      <c r="D182" s="20" cm="1">
        <f t="array" ref="D182">'Delivery Details and calculatio'!$B$26</f>
        <v>19.57</v>
      </c>
      <c r="E182" s="20" cm="1">
        <f t="array" ref="E182">'Delivery Details and calculatio'!$B$27</f>
        <v>25.51</v>
      </c>
      <c r="F182" s="20" cm="1">
        <f t="array" ref="F182">'Delivery Details and calculatio'!$B$28</f>
        <v>37.43</v>
      </c>
      <c r="G182" s="20" cm="1">
        <f t="array" ref="G182">'Delivery Details and calculatio'!$B$29</f>
        <v>49.35</v>
      </c>
      <c r="H182" s="20" cm="1">
        <f t="array" ref="H182">'Delivery Details and calculatio'!$B$30</f>
        <v>61.28</v>
      </c>
    </row>
    <row r="183" ht="13.65" customHeight="1">
      <c r="A183" t="s" s="32">
        <v>249</v>
      </c>
      <c r="B183" s="33">
        <v>5</v>
      </c>
      <c r="C183" t="s" s="32">
        <v>66</v>
      </c>
      <c r="D183" s="20" cm="1">
        <f t="array" ref="D183">'Delivery Details and calculatio'!$F$26</f>
        <v>32.73</v>
      </c>
      <c r="E183" s="20" cm="1">
        <f t="array" ref="E183">'Delivery Details and calculatio'!$F$27</f>
        <v>41.61</v>
      </c>
      <c r="F183" s="20" cm="1">
        <f t="array" ref="F183">'Delivery Details and calculatio'!$F$28</f>
        <v>59.38</v>
      </c>
      <c r="G183" s="20" cm="1">
        <f t="array" ref="G183">'Delivery Details and calculatio'!$F$29</f>
        <v>77.09</v>
      </c>
      <c r="H183" s="20" cm="1">
        <f t="array" ref="H183">'Delivery Details and calculatio'!$F$30</f>
        <v>94.81</v>
      </c>
    </row>
    <row r="184" ht="13.65" customHeight="1">
      <c r="A184" t="s" s="32">
        <v>250</v>
      </c>
      <c r="B184" s="33">
        <v>5</v>
      </c>
      <c r="C184" t="s" s="32">
        <v>66</v>
      </c>
      <c r="D184" s="20" cm="1">
        <f t="array" ref="D184">'Delivery Details and calculatio'!$F$26</f>
        <v>32.73</v>
      </c>
      <c r="E184" s="20" cm="1">
        <f t="array" ref="E184">'Delivery Details and calculatio'!$F$27</f>
        <v>41.61</v>
      </c>
      <c r="F184" s="20" cm="1">
        <f t="array" ref="F184">'Delivery Details and calculatio'!$F$28</f>
        <v>59.38</v>
      </c>
      <c r="G184" s="20" cm="1">
        <f t="array" ref="G184">'Delivery Details and calculatio'!$F$29</f>
        <v>77.09</v>
      </c>
      <c r="H184" s="20" cm="1">
        <f t="array" ref="H184">'Delivery Details and calculatio'!$F$30</f>
        <v>94.81</v>
      </c>
    </row>
    <row r="185" ht="13.65" customHeight="1">
      <c r="A185" t="s" s="32">
        <v>251</v>
      </c>
      <c r="B185" s="33">
        <v>5</v>
      </c>
      <c r="C185" t="s" s="32">
        <v>66</v>
      </c>
      <c r="D185" s="20" cm="1">
        <f t="array" ref="D185">'Delivery Details and calculatio'!$F$26</f>
        <v>32.73</v>
      </c>
      <c r="E185" s="20" cm="1">
        <f t="array" ref="E185">'Delivery Details and calculatio'!$F$27</f>
        <v>41.61</v>
      </c>
      <c r="F185" s="20" cm="1">
        <f t="array" ref="F185">'Delivery Details and calculatio'!$F$28</f>
        <v>59.38</v>
      </c>
      <c r="G185" s="20" cm="1">
        <f t="array" ref="G185">'Delivery Details and calculatio'!$F$29</f>
        <v>77.09</v>
      </c>
      <c r="H185" s="20" cm="1">
        <f t="array" ref="H185">'Delivery Details and calculatio'!$F$30</f>
        <v>94.81</v>
      </c>
    </row>
    <row r="186" ht="13.65" customHeight="1">
      <c r="A186" t="s" s="32">
        <v>252</v>
      </c>
      <c r="B186" s="33">
        <v>4</v>
      </c>
      <c r="C186" t="s" s="32">
        <v>68</v>
      </c>
      <c r="D186" s="20" cm="1">
        <f t="array" ref="D186">'Delivery Details and calculatio'!$D$26</f>
        <v>26.98</v>
      </c>
      <c r="E186" s="20" cm="1">
        <f t="array" ref="E186">'Delivery Details and calculatio'!$D$27</f>
        <v>33.77</v>
      </c>
      <c r="F186" s="20" cm="1">
        <f t="array" ref="F186">'Delivery Details and calculatio'!$D$28</f>
        <v>47.41</v>
      </c>
      <c r="G186" s="20" cm="1">
        <f t="array" ref="G186">'Delivery Details and calculatio'!$D$29</f>
        <v>60.99</v>
      </c>
      <c r="H186" s="20" cm="1">
        <f t="array" ref="H186">'Delivery Details and calculatio'!$D$30</f>
        <v>74.58</v>
      </c>
    </row>
    <row r="187" ht="13.65" customHeight="1">
      <c r="A187" t="s" s="32">
        <v>253</v>
      </c>
      <c r="B187" s="33">
        <v>5</v>
      </c>
      <c r="C187" t="s" s="32">
        <v>66</v>
      </c>
      <c r="D187" s="20" cm="1">
        <f t="array" ref="D187">'Delivery Details and calculatio'!$F$26</f>
        <v>32.73</v>
      </c>
      <c r="E187" s="20" cm="1">
        <f t="array" ref="E187">'Delivery Details and calculatio'!$F$27</f>
        <v>41.61</v>
      </c>
      <c r="F187" s="20" cm="1">
        <f t="array" ref="F187">'Delivery Details and calculatio'!$F$28</f>
        <v>59.38</v>
      </c>
      <c r="G187" s="20" cm="1">
        <f t="array" ref="G187">'Delivery Details and calculatio'!$F$29</f>
        <v>77.09</v>
      </c>
      <c r="H187" s="20" cm="1">
        <f t="array" ref="H187">'Delivery Details and calculatio'!$F$30</f>
        <v>94.81</v>
      </c>
    </row>
    <row r="188" ht="13.65" customHeight="1">
      <c r="A188" t="s" s="32">
        <v>254</v>
      </c>
      <c r="B188" s="33">
        <v>5</v>
      </c>
      <c r="C188" t="s" s="32">
        <v>66</v>
      </c>
      <c r="D188" s="20" cm="1">
        <f t="array" ref="D188">'Delivery Details and calculatio'!$F$26</f>
        <v>32.73</v>
      </c>
      <c r="E188" s="20" cm="1">
        <f t="array" ref="E188">'Delivery Details and calculatio'!$F$27</f>
        <v>41.61</v>
      </c>
      <c r="F188" s="20" cm="1">
        <f t="array" ref="F188">'Delivery Details and calculatio'!$F$28</f>
        <v>59.38</v>
      </c>
      <c r="G188" s="20" cm="1">
        <f t="array" ref="G188">'Delivery Details and calculatio'!$F$29</f>
        <v>77.09</v>
      </c>
      <c r="H188" s="20" cm="1">
        <f t="array" ref="H188">'Delivery Details and calculatio'!$F$30</f>
        <v>94.81</v>
      </c>
    </row>
    <row r="189" ht="13.65" customHeight="1">
      <c r="A189" t="s" s="32">
        <v>255</v>
      </c>
      <c r="B189" s="33">
        <v>2</v>
      </c>
      <c r="C189" t="s" s="32">
        <v>71</v>
      </c>
      <c r="D189" s="20" cm="1">
        <f t="array" ref="D189">'Delivery Details and calculatio'!$B$26</f>
        <v>19.57</v>
      </c>
      <c r="E189" s="20" cm="1">
        <f t="array" ref="E189">'Delivery Details and calculatio'!$B$27</f>
        <v>25.51</v>
      </c>
      <c r="F189" s="20" cm="1">
        <f t="array" ref="F189">'Delivery Details and calculatio'!$B$28</f>
        <v>37.43</v>
      </c>
      <c r="G189" s="20" cm="1">
        <f t="array" ref="G189">'Delivery Details and calculatio'!$B$29</f>
        <v>49.35</v>
      </c>
      <c r="H189" s="20" cm="1">
        <f t="array" ref="H189">'Delivery Details and calculatio'!$B$30</f>
        <v>61.28</v>
      </c>
    </row>
    <row r="190" ht="13.65" customHeight="1">
      <c r="A190" t="s" s="32">
        <v>256</v>
      </c>
      <c r="B190" s="33">
        <v>4</v>
      </c>
      <c r="C190" t="s" s="32">
        <v>68</v>
      </c>
      <c r="D190" s="20" cm="1">
        <f t="array" ref="D190">'Delivery Details and calculatio'!$D$26</f>
        <v>26.98</v>
      </c>
      <c r="E190" s="20" cm="1">
        <f t="array" ref="E190">'Delivery Details and calculatio'!$D$27</f>
        <v>33.77</v>
      </c>
      <c r="F190" s="20" cm="1">
        <f t="array" ref="F190">'Delivery Details and calculatio'!$D$28</f>
        <v>47.41</v>
      </c>
      <c r="G190" s="20" cm="1">
        <f t="array" ref="G190">'Delivery Details and calculatio'!$D$29</f>
        <v>60.99</v>
      </c>
      <c r="H190" s="20" cm="1">
        <f t="array" ref="H190">'Delivery Details and calculatio'!$D$30</f>
        <v>74.58</v>
      </c>
    </row>
    <row r="191" ht="13.65" customHeight="1">
      <c r="A191" t="s" s="32">
        <v>257</v>
      </c>
      <c r="B191" s="33">
        <v>4</v>
      </c>
      <c r="C191" t="s" s="32">
        <v>68</v>
      </c>
      <c r="D191" s="20" cm="1">
        <f t="array" ref="D191">'Delivery Details and calculatio'!$D$26</f>
        <v>26.98</v>
      </c>
      <c r="E191" s="20" cm="1">
        <f t="array" ref="E191">'Delivery Details and calculatio'!$D$27</f>
        <v>33.77</v>
      </c>
      <c r="F191" s="20" cm="1">
        <f t="array" ref="F191">'Delivery Details and calculatio'!$D$28</f>
        <v>47.41</v>
      </c>
      <c r="G191" s="20" cm="1">
        <f t="array" ref="G191">'Delivery Details and calculatio'!$D$29</f>
        <v>60.99</v>
      </c>
      <c r="H191" s="20" cm="1">
        <f t="array" ref="H191">'Delivery Details and calculatio'!$D$30</f>
        <v>74.58</v>
      </c>
    </row>
    <row r="192" ht="13.65" customHeight="1">
      <c r="A192" t="s" s="32">
        <v>258</v>
      </c>
      <c r="B192" s="33">
        <v>2</v>
      </c>
      <c r="C192" t="s" s="32">
        <v>71</v>
      </c>
      <c r="D192" s="20" cm="1">
        <f t="array" ref="D192">'Delivery Details and calculatio'!$B$26</f>
        <v>19.57</v>
      </c>
      <c r="E192" s="20" cm="1">
        <f t="array" ref="E192">'Delivery Details and calculatio'!$B$27</f>
        <v>25.51</v>
      </c>
      <c r="F192" s="20" cm="1">
        <f t="array" ref="F192">'Delivery Details and calculatio'!$B$28</f>
        <v>37.43</v>
      </c>
      <c r="G192" s="20" cm="1">
        <f t="array" ref="G192">'Delivery Details and calculatio'!$B$29</f>
        <v>49.35</v>
      </c>
      <c r="H192" s="20" cm="1">
        <f t="array" ref="H192">'Delivery Details and calculatio'!$B$30</f>
        <v>61.28</v>
      </c>
    </row>
    <row r="193" ht="13.65" customHeight="1">
      <c r="A193" t="s" s="32">
        <v>259</v>
      </c>
      <c r="B193" s="33">
        <v>5</v>
      </c>
      <c r="C193" t="s" s="32">
        <v>66</v>
      </c>
      <c r="D193" s="20" cm="1">
        <f t="array" ref="D193">'Delivery Details and calculatio'!$F$26</f>
        <v>32.73</v>
      </c>
      <c r="E193" s="20" cm="1">
        <f t="array" ref="E193">'Delivery Details and calculatio'!$F$27</f>
        <v>41.61</v>
      </c>
      <c r="F193" s="20" cm="1">
        <f t="array" ref="F193">'Delivery Details and calculatio'!$F$28</f>
        <v>59.38</v>
      </c>
      <c r="G193" s="20" cm="1">
        <f t="array" ref="G193">'Delivery Details and calculatio'!$F$29</f>
        <v>77.09</v>
      </c>
      <c r="H193" s="20" cm="1">
        <f t="array" ref="H193">'Delivery Details and calculatio'!$F$30</f>
        <v>94.81</v>
      </c>
    </row>
    <row r="194" ht="13.65" customHeight="1">
      <c r="A194" t="s" s="32">
        <v>260</v>
      </c>
      <c r="B194" s="33">
        <v>4</v>
      </c>
      <c r="C194" t="s" s="32">
        <v>68</v>
      </c>
      <c r="D194" s="20" cm="1">
        <f t="array" ref="D194">'Delivery Details and calculatio'!$D$26</f>
        <v>26.98</v>
      </c>
      <c r="E194" s="20" cm="1">
        <f t="array" ref="E194">'Delivery Details and calculatio'!$D$27</f>
        <v>33.77</v>
      </c>
      <c r="F194" s="20" cm="1">
        <f t="array" ref="F194">'Delivery Details and calculatio'!$D$28</f>
        <v>47.41</v>
      </c>
      <c r="G194" s="20" cm="1">
        <f t="array" ref="G194">'Delivery Details and calculatio'!$D$29</f>
        <v>60.99</v>
      </c>
      <c r="H194" s="20" cm="1">
        <f t="array" ref="H194">'Delivery Details and calculatio'!$D$30</f>
        <v>74.58</v>
      </c>
    </row>
    <row r="195" ht="13.65" customHeight="1">
      <c r="A195" t="s" s="32">
        <v>261</v>
      </c>
      <c r="B195" s="33">
        <v>2</v>
      </c>
      <c r="C195" t="s" s="32">
        <v>71</v>
      </c>
      <c r="D195" s="20" cm="1">
        <f t="array" ref="D195">'Delivery Details and calculatio'!$B$26</f>
        <v>19.57</v>
      </c>
      <c r="E195" s="20" cm="1">
        <f t="array" ref="E195">'Delivery Details and calculatio'!$B$27</f>
        <v>25.51</v>
      </c>
      <c r="F195" s="20" cm="1">
        <f t="array" ref="F195">'Delivery Details and calculatio'!$B$28</f>
        <v>37.43</v>
      </c>
      <c r="G195" s="20" cm="1">
        <f t="array" ref="G195">'Delivery Details and calculatio'!$B$29</f>
        <v>49.35</v>
      </c>
      <c r="H195" s="20" cm="1">
        <f t="array" ref="H195">'Delivery Details and calculatio'!$B$30</f>
        <v>61.28</v>
      </c>
    </row>
    <row r="196" ht="13.65" customHeight="1">
      <c r="A196" t="s" s="32">
        <v>262</v>
      </c>
      <c r="B196" s="33">
        <v>5</v>
      </c>
      <c r="C196" t="s" s="32">
        <v>66</v>
      </c>
      <c r="D196" s="20" cm="1">
        <f t="array" ref="D196">'Delivery Details and calculatio'!$F$26</f>
        <v>32.73</v>
      </c>
      <c r="E196" s="20" cm="1">
        <f t="array" ref="E196">'Delivery Details and calculatio'!$F$27</f>
        <v>41.61</v>
      </c>
      <c r="F196" s="20" cm="1">
        <f t="array" ref="F196">'Delivery Details and calculatio'!$F$28</f>
        <v>59.38</v>
      </c>
      <c r="G196" s="20" cm="1">
        <f t="array" ref="G196">'Delivery Details and calculatio'!$F$29</f>
        <v>77.09</v>
      </c>
      <c r="H196" s="20" cm="1">
        <f t="array" ref="H196">'Delivery Details and calculatio'!$F$30</f>
        <v>94.81</v>
      </c>
    </row>
    <row r="197" ht="13.65" customHeight="1">
      <c r="A197" t="s" s="32">
        <v>263</v>
      </c>
      <c r="B197" s="33">
        <v>4</v>
      </c>
      <c r="C197" t="s" s="32">
        <v>68</v>
      </c>
      <c r="D197" s="20" cm="1">
        <f t="array" ref="D197">'Delivery Details and calculatio'!$D$26</f>
        <v>26.98</v>
      </c>
      <c r="E197" s="20" cm="1">
        <f t="array" ref="E197">'Delivery Details and calculatio'!$D$27</f>
        <v>33.77</v>
      </c>
      <c r="F197" s="20" cm="1">
        <f t="array" ref="F197">'Delivery Details and calculatio'!$D$28</f>
        <v>47.41</v>
      </c>
      <c r="G197" s="20" cm="1">
        <f t="array" ref="G197">'Delivery Details and calculatio'!$D$29</f>
        <v>60.99</v>
      </c>
      <c r="H197" s="20" cm="1">
        <f t="array" ref="H197">'Delivery Details and calculatio'!$D$30</f>
        <v>74.58</v>
      </c>
    </row>
    <row r="198" ht="13.65" customHeight="1">
      <c r="A198" t="s" s="32">
        <v>264</v>
      </c>
      <c r="B198" s="33">
        <v>2</v>
      </c>
      <c r="C198" t="s" s="32">
        <v>71</v>
      </c>
      <c r="D198" s="20" cm="1">
        <f t="array" ref="D198">'Delivery Details and calculatio'!$B$26</f>
        <v>19.57</v>
      </c>
      <c r="E198" s="20" cm="1">
        <f t="array" ref="E198">'Delivery Details and calculatio'!$B$27</f>
        <v>25.51</v>
      </c>
      <c r="F198" s="20" cm="1">
        <f t="array" ref="F198">'Delivery Details and calculatio'!$B$28</f>
        <v>37.43</v>
      </c>
      <c r="G198" s="20" cm="1">
        <f t="array" ref="G198">'Delivery Details and calculatio'!$B$29</f>
        <v>49.35</v>
      </c>
      <c r="H198" s="20" cm="1">
        <f t="array" ref="H198">'Delivery Details and calculatio'!$B$30</f>
        <v>61.28</v>
      </c>
    </row>
    <row r="199" ht="13.65" customHeight="1">
      <c r="A199" t="s" s="32">
        <v>265</v>
      </c>
      <c r="B199" s="33">
        <v>5</v>
      </c>
      <c r="C199" t="s" s="32">
        <v>66</v>
      </c>
      <c r="D199" s="20" cm="1">
        <f t="array" ref="D199">'Delivery Details and calculatio'!$F$26</f>
        <v>32.73</v>
      </c>
      <c r="E199" s="20" cm="1">
        <f t="array" ref="E199">'Delivery Details and calculatio'!$F$27</f>
        <v>41.61</v>
      </c>
      <c r="F199" s="20" cm="1">
        <f t="array" ref="F199">'Delivery Details and calculatio'!$F$28</f>
        <v>59.38</v>
      </c>
      <c r="G199" s="20" cm="1">
        <f t="array" ref="G199">'Delivery Details and calculatio'!$F$29</f>
        <v>77.09</v>
      </c>
      <c r="H199" s="20" cm="1">
        <f t="array" ref="H199">'Delivery Details and calculatio'!$F$30</f>
        <v>94.81</v>
      </c>
    </row>
    <row r="200" ht="13.65" customHeight="1">
      <c r="A200" t="s" s="32">
        <v>266</v>
      </c>
      <c r="B200" s="33">
        <v>4</v>
      </c>
      <c r="C200" t="s" s="32">
        <v>68</v>
      </c>
      <c r="D200" s="20" cm="1">
        <f t="array" ref="D200">'Delivery Details and calculatio'!$D$26</f>
        <v>26.98</v>
      </c>
      <c r="E200" s="20" cm="1">
        <f t="array" ref="E200">'Delivery Details and calculatio'!$D$27</f>
        <v>33.77</v>
      </c>
      <c r="F200" s="20" cm="1">
        <f t="array" ref="F200">'Delivery Details and calculatio'!$D$28</f>
        <v>47.41</v>
      </c>
      <c r="G200" s="20" cm="1">
        <f t="array" ref="G200">'Delivery Details and calculatio'!$D$29</f>
        <v>60.99</v>
      </c>
      <c r="H200" s="20" cm="1">
        <f t="array" ref="H200">'Delivery Details and calculatio'!$D$30</f>
        <v>74.58</v>
      </c>
    </row>
    <row r="201" ht="13.65" customHeight="1">
      <c r="A201" t="s" s="32">
        <v>267</v>
      </c>
      <c r="B201" s="33">
        <v>4</v>
      </c>
      <c r="C201" t="s" s="32">
        <v>68</v>
      </c>
      <c r="D201" s="20" cm="1">
        <f t="array" ref="D201">'Delivery Details and calculatio'!$D$26</f>
        <v>26.98</v>
      </c>
      <c r="E201" s="20" cm="1">
        <f t="array" ref="E201">'Delivery Details and calculatio'!$D$27</f>
        <v>33.77</v>
      </c>
      <c r="F201" s="20" cm="1">
        <f t="array" ref="F201">'Delivery Details and calculatio'!$D$28</f>
        <v>47.41</v>
      </c>
      <c r="G201" s="20" cm="1">
        <f t="array" ref="G201">'Delivery Details and calculatio'!$D$29</f>
        <v>60.99</v>
      </c>
      <c r="H201" s="20" cm="1">
        <f t="array" ref="H201">'Delivery Details and calculatio'!$D$30</f>
        <v>74.58</v>
      </c>
    </row>
    <row r="202" ht="13.65" customHeight="1">
      <c r="A202" t="s" s="32">
        <v>268</v>
      </c>
      <c r="B202" s="33">
        <v>5</v>
      </c>
      <c r="C202" t="s" s="32">
        <v>66</v>
      </c>
      <c r="D202" s="20" cm="1">
        <f t="array" ref="D202">'Delivery Details and calculatio'!$F$26</f>
        <v>32.73</v>
      </c>
      <c r="E202" s="20" cm="1">
        <f t="array" ref="E202">'Delivery Details and calculatio'!$F$27</f>
        <v>41.61</v>
      </c>
      <c r="F202" s="20" cm="1">
        <f t="array" ref="F202">'Delivery Details and calculatio'!$F$28</f>
        <v>59.38</v>
      </c>
      <c r="G202" s="20" cm="1">
        <f t="array" ref="G202">'Delivery Details and calculatio'!$F$29</f>
        <v>77.09</v>
      </c>
      <c r="H202" s="20" cm="1">
        <f t="array" ref="H202">'Delivery Details and calculatio'!$F$30</f>
        <v>94.81</v>
      </c>
    </row>
    <row r="203" ht="13.65" customHeight="1">
      <c r="A203" t="s" s="32">
        <v>269</v>
      </c>
      <c r="B203" s="33">
        <v>2</v>
      </c>
      <c r="C203" t="s" s="32">
        <v>71</v>
      </c>
      <c r="D203" s="20" cm="1">
        <f t="array" ref="D203">'Delivery Details and calculatio'!$B$26</f>
        <v>19.57</v>
      </c>
      <c r="E203" s="20" cm="1">
        <f t="array" ref="E203">'Delivery Details and calculatio'!$B$27</f>
        <v>25.51</v>
      </c>
      <c r="F203" s="20" cm="1">
        <f t="array" ref="F203">'Delivery Details and calculatio'!$B$28</f>
        <v>37.43</v>
      </c>
      <c r="G203" s="20" cm="1">
        <f t="array" ref="G203">'Delivery Details and calculatio'!$B$29</f>
        <v>49.35</v>
      </c>
      <c r="H203" s="20" cm="1">
        <f t="array" ref="H203">'Delivery Details and calculatio'!$B$30</f>
        <v>61.28</v>
      </c>
    </row>
    <row r="204" ht="13.65" customHeight="1">
      <c r="A204" t="s" s="32">
        <v>270</v>
      </c>
      <c r="B204" s="33">
        <v>5</v>
      </c>
      <c r="C204" t="s" s="32">
        <v>66</v>
      </c>
      <c r="D204" s="20" cm="1">
        <f t="array" ref="D204">'Delivery Details and calculatio'!$F$26</f>
        <v>32.73</v>
      </c>
      <c r="E204" s="20" cm="1">
        <f t="array" ref="E204">'Delivery Details and calculatio'!$F$27</f>
        <v>41.61</v>
      </c>
      <c r="F204" s="20" cm="1">
        <f t="array" ref="F204">'Delivery Details and calculatio'!$F$28</f>
        <v>59.38</v>
      </c>
      <c r="G204" s="20" cm="1">
        <f t="array" ref="G204">'Delivery Details and calculatio'!$F$29</f>
        <v>77.09</v>
      </c>
      <c r="H204" s="20" cm="1">
        <f t="array" ref="H204">'Delivery Details and calculatio'!$F$30</f>
        <v>94.81</v>
      </c>
    </row>
    <row r="205" ht="13.65" customHeight="1">
      <c r="A205" t="s" s="32">
        <v>271</v>
      </c>
      <c r="B205" s="33">
        <v>5</v>
      </c>
      <c r="C205" t="s" s="32">
        <v>66</v>
      </c>
      <c r="D205" s="20" cm="1">
        <f t="array" ref="D205">'Delivery Details and calculatio'!$F$26</f>
        <v>32.73</v>
      </c>
      <c r="E205" s="20" cm="1">
        <f t="array" ref="E205">'Delivery Details and calculatio'!$F$27</f>
        <v>41.61</v>
      </c>
      <c r="F205" s="20" cm="1">
        <f t="array" ref="F205">'Delivery Details and calculatio'!$F$28</f>
        <v>59.38</v>
      </c>
      <c r="G205" s="20" cm="1">
        <f t="array" ref="G205">'Delivery Details and calculatio'!$F$29</f>
        <v>77.09</v>
      </c>
      <c r="H205" s="20" cm="1">
        <f t="array" ref="H205">'Delivery Details and calculatio'!$F$30</f>
        <v>94.81</v>
      </c>
    </row>
    <row r="206" ht="13.65" customHeight="1">
      <c r="A206" t="s" s="32">
        <v>272</v>
      </c>
      <c r="B206" s="33">
        <v>2</v>
      </c>
      <c r="C206" t="s" s="32">
        <v>71</v>
      </c>
      <c r="D206" s="20" cm="1">
        <f t="array" ref="D206">'Delivery Details and calculatio'!$B$26</f>
        <v>19.57</v>
      </c>
      <c r="E206" s="20" cm="1">
        <f t="array" ref="E206">'Delivery Details and calculatio'!$B$27</f>
        <v>25.51</v>
      </c>
      <c r="F206" s="20" cm="1">
        <f t="array" ref="F206">'Delivery Details and calculatio'!$B$28</f>
        <v>37.43</v>
      </c>
      <c r="G206" s="20" cm="1">
        <f t="array" ref="G206">'Delivery Details and calculatio'!$B$29</f>
        <v>49.35</v>
      </c>
      <c r="H206" s="20" cm="1">
        <f t="array" ref="H206">'Delivery Details and calculatio'!$B$30</f>
        <v>61.28</v>
      </c>
    </row>
    <row r="207" ht="13.65" customHeight="1">
      <c r="A207" t="s" s="32">
        <v>273</v>
      </c>
      <c r="B207" s="33">
        <v>2</v>
      </c>
      <c r="C207" t="s" s="32">
        <v>71</v>
      </c>
      <c r="D207" s="20" cm="1">
        <f t="array" ref="D207">'Delivery Details and calculatio'!$B$26</f>
        <v>19.57</v>
      </c>
      <c r="E207" s="20" cm="1">
        <f t="array" ref="E207">'Delivery Details and calculatio'!$B$27</f>
        <v>25.51</v>
      </c>
      <c r="F207" s="20" cm="1">
        <f t="array" ref="F207">'Delivery Details and calculatio'!$B$28</f>
        <v>37.43</v>
      </c>
      <c r="G207" s="20" cm="1">
        <f t="array" ref="G207">'Delivery Details and calculatio'!$B$29</f>
        <v>49.35</v>
      </c>
      <c r="H207" s="20" cm="1">
        <f t="array" ref="H207">'Delivery Details and calculatio'!$B$30</f>
        <v>61.28</v>
      </c>
    </row>
    <row r="208" ht="13.65" customHeight="1">
      <c r="A208" t="s" s="32">
        <v>274</v>
      </c>
      <c r="B208" s="33">
        <v>5</v>
      </c>
      <c r="C208" t="s" s="32">
        <v>66</v>
      </c>
      <c r="D208" s="20" cm="1">
        <f t="array" ref="D208">'Delivery Details and calculatio'!$F$26</f>
        <v>32.73</v>
      </c>
      <c r="E208" s="20" cm="1">
        <f t="array" ref="E208">'Delivery Details and calculatio'!$F$27</f>
        <v>41.61</v>
      </c>
      <c r="F208" s="20" cm="1">
        <f t="array" ref="F208">'Delivery Details and calculatio'!$F$28</f>
        <v>59.38</v>
      </c>
      <c r="G208" s="20" cm="1">
        <f t="array" ref="G208">'Delivery Details and calculatio'!$F$29</f>
        <v>77.09</v>
      </c>
      <c r="H208" s="20" cm="1">
        <f t="array" ref="H208">'Delivery Details and calculatio'!$F$30</f>
        <v>94.81</v>
      </c>
    </row>
    <row r="209" ht="13.65" customHeight="1">
      <c r="A209" t="s" s="32">
        <v>275</v>
      </c>
      <c r="B209" s="33">
        <v>2</v>
      </c>
      <c r="C209" t="s" s="32">
        <v>71</v>
      </c>
      <c r="D209" s="20" cm="1">
        <f t="array" ref="D209">'Delivery Details and calculatio'!$B$26</f>
        <v>19.57</v>
      </c>
      <c r="E209" s="20" cm="1">
        <f t="array" ref="E209">'Delivery Details and calculatio'!$B$27</f>
        <v>25.51</v>
      </c>
      <c r="F209" s="20" cm="1">
        <f t="array" ref="F209">'Delivery Details and calculatio'!$B$28</f>
        <v>37.43</v>
      </c>
      <c r="G209" s="20" cm="1">
        <f t="array" ref="G209">'Delivery Details and calculatio'!$B$29</f>
        <v>49.35</v>
      </c>
      <c r="H209" s="20" cm="1">
        <f t="array" ref="H209">'Delivery Details and calculatio'!$B$30</f>
        <v>61.28</v>
      </c>
    </row>
    <row r="210" ht="13.65" customHeight="1">
      <c r="A210" t="s" s="32">
        <v>276</v>
      </c>
      <c r="B210" s="33">
        <v>2</v>
      </c>
      <c r="C210" t="s" s="32">
        <v>71</v>
      </c>
      <c r="D210" s="20" cm="1">
        <f t="array" ref="D210">'Delivery Details and calculatio'!$B$26</f>
        <v>19.57</v>
      </c>
      <c r="E210" s="20" cm="1">
        <f t="array" ref="E210">'Delivery Details and calculatio'!$B$27</f>
        <v>25.51</v>
      </c>
      <c r="F210" s="20" cm="1">
        <f t="array" ref="F210">'Delivery Details and calculatio'!$B$28</f>
        <v>37.43</v>
      </c>
      <c r="G210" s="20" cm="1">
        <f t="array" ref="G210">'Delivery Details and calculatio'!$B$29</f>
        <v>49.35</v>
      </c>
      <c r="H210" s="20" cm="1">
        <f t="array" ref="H210">'Delivery Details and calculatio'!$B$30</f>
        <v>61.28</v>
      </c>
    </row>
    <row r="211" ht="13.65" customHeight="1">
      <c r="A211" t="s" s="32">
        <v>277</v>
      </c>
      <c r="B211" s="33">
        <v>5</v>
      </c>
      <c r="C211" t="s" s="32">
        <v>66</v>
      </c>
      <c r="D211" s="20" cm="1">
        <f t="array" ref="D211">'Delivery Details and calculatio'!$F$26</f>
        <v>32.73</v>
      </c>
      <c r="E211" s="20" cm="1">
        <f t="array" ref="E211">'Delivery Details and calculatio'!$F$27</f>
        <v>41.61</v>
      </c>
      <c r="F211" s="20" cm="1">
        <f t="array" ref="F211">'Delivery Details and calculatio'!$F$28</f>
        <v>59.38</v>
      </c>
      <c r="G211" s="20" cm="1">
        <f t="array" ref="G211">'Delivery Details and calculatio'!$F$29</f>
        <v>77.09</v>
      </c>
      <c r="H211" s="20" cm="1">
        <f t="array" ref="H211">'Delivery Details and calculatio'!$F$30</f>
        <v>94.81</v>
      </c>
    </row>
    <row r="212" ht="13.65" customHeight="1">
      <c r="A212" t="s" s="32">
        <v>278</v>
      </c>
      <c r="B212" s="33">
        <v>5</v>
      </c>
      <c r="C212" t="s" s="32">
        <v>66</v>
      </c>
      <c r="D212" s="20" cm="1">
        <f t="array" ref="D212">'Delivery Details and calculatio'!$F$26</f>
        <v>32.73</v>
      </c>
      <c r="E212" s="20" cm="1">
        <f t="array" ref="E212">'Delivery Details and calculatio'!$F$27</f>
        <v>41.61</v>
      </c>
      <c r="F212" s="20" cm="1">
        <f t="array" ref="F212">'Delivery Details and calculatio'!$F$28</f>
        <v>59.38</v>
      </c>
      <c r="G212" s="20" cm="1">
        <f t="array" ref="G212">'Delivery Details and calculatio'!$F$29</f>
        <v>77.09</v>
      </c>
      <c r="H212" s="20" cm="1">
        <f t="array" ref="H212">'Delivery Details and calculatio'!$F$30</f>
        <v>94.81</v>
      </c>
    </row>
    <row r="213" ht="13.65" customHeight="1">
      <c r="A213" t="s" s="32">
        <v>279</v>
      </c>
      <c r="B213" s="33">
        <v>4</v>
      </c>
      <c r="C213" t="s" s="32">
        <v>68</v>
      </c>
      <c r="D213" s="20" cm="1">
        <f t="array" ref="D213">'Delivery Details and calculatio'!$D$26</f>
        <v>26.98</v>
      </c>
      <c r="E213" s="20" cm="1">
        <f t="array" ref="E213">'Delivery Details and calculatio'!$D$27</f>
        <v>33.77</v>
      </c>
      <c r="F213" s="20" cm="1">
        <f t="array" ref="F213">'Delivery Details and calculatio'!$D$28</f>
        <v>47.41</v>
      </c>
      <c r="G213" s="20" cm="1">
        <f t="array" ref="G213">'Delivery Details and calculatio'!$D$29</f>
        <v>60.99</v>
      </c>
      <c r="H213" s="20" cm="1">
        <f t="array" ref="H213">'Delivery Details and calculatio'!$D$30</f>
        <v>74.58</v>
      </c>
    </row>
    <row r="214" ht="13.65" customHeight="1">
      <c r="A214" t="s" s="32">
        <v>280</v>
      </c>
      <c r="B214" s="33">
        <v>5</v>
      </c>
      <c r="C214" t="s" s="32">
        <v>66</v>
      </c>
      <c r="D214" s="20" cm="1">
        <f t="array" ref="D214">'Delivery Details and calculatio'!$F$26</f>
        <v>32.73</v>
      </c>
      <c r="E214" s="20" cm="1">
        <f t="array" ref="E214">'Delivery Details and calculatio'!$F$27</f>
        <v>41.61</v>
      </c>
      <c r="F214" s="20" cm="1">
        <f t="array" ref="F214">'Delivery Details and calculatio'!$F$28</f>
        <v>59.38</v>
      </c>
      <c r="G214" s="20" cm="1">
        <f t="array" ref="G214">'Delivery Details and calculatio'!$F$29</f>
        <v>77.09</v>
      </c>
      <c r="H214" s="20" cm="1">
        <f t="array" ref="H214">'Delivery Details and calculatio'!$F$30</f>
        <v>94.81</v>
      </c>
    </row>
    <row r="215" ht="13.65" customHeight="1">
      <c r="A215" t="s" s="32">
        <v>281</v>
      </c>
      <c r="B215" s="33">
        <v>5</v>
      </c>
      <c r="C215" t="s" s="32">
        <v>66</v>
      </c>
      <c r="D215" s="20" cm="1">
        <f t="array" ref="D215">'Delivery Details and calculatio'!$F$26</f>
        <v>32.73</v>
      </c>
      <c r="E215" s="20" cm="1">
        <f t="array" ref="E215">'Delivery Details and calculatio'!$F$27</f>
        <v>41.61</v>
      </c>
      <c r="F215" s="20" cm="1">
        <f t="array" ref="F215">'Delivery Details and calculatio'!$F$28</f>
        <v>59.38</v>
      </c>
      <c r="G215" s="20" cm="1">
        <f t="array" ref="G215">'Delivery Details and calculatio'!$F$29</f>
        <v>77.09</v>
      </c>
      <c r="H215" s="20" cm="1">
        <f t="array" ref="H215">'Delivery Details and calculatio'!$F$30</f>
        <v>94.81</v>
      </c>
    </row>
    <row r="216" ht="13.65" customHeight="1">
      <c r="A216" t="s" s="32">
        <v>282</v>
      </c>
      <c r="B216" s="33">
        <v>2</v>
      </c>
      <c r="C216" t="s" s="32">
        <v>71</v>
      </c>
      <c r="D216" s="20" cm="1">
        <f t="array" ref="D216">'Delivery Details and calculatio'!$B$26</f>
        <v>19.57</v>
      </c>
      <c r="E216" s="20" cm="1">
        <f t="array" ref="E216">'Delivery Details and calculatio'!$B$27</f>
        <v>25.51</v>
      </c>
      <c r="F216" s="20" cm="1">
        <f t="array" ref="F216">'Delivery Details and calculatio'!$B$28</f>
        <v>37.43</v>
      </c>
      <c r="G216" s="20" cm="1">
        <f t="array" ref="G216">'Delivery Details and calculatio'!$B$29</f>
        <v>49.35</v>
      </c>
      <c r="H216" s="20" cm="1">
        <f t="array" ref="H216">'Delivery Details and calculatio'!$B$30</f>
        <v>61.28</v>
      </c>
    </row>
    <row r="217" ht="13.65" customHeight="1">
      <c r="A217" t="s" s="32">
        <v>283</v>
      </c>
      <c r="B217" s="33">
        <v>5</v>
      </c>
      <c r="C217" t="s" s="32">
        <v>66</v>
      </c>
      <c r="D217" s="20" cm="1">
        <f t="array" ref="D217">'Delivery Details and calculatio'!$F$26</f>
        <v>32.73</v>
      </c>
      <c r="E217" s="20" cm="1">
        <f t="array" ref="E217">'Delivery Details and calculatio'!$F$27</f>
        <v>41.61</v>
      </c>
      <c r="F217" s="20" cm="1">
        <f t="array" ref="F217">'Delivery Details and calculatio'!$F$28</f>
        <v>59.38</v>
      </c>
      <c r="G217" s="20" cm="1">
        <f t="array" ref="G217">'Delivery Details and calculatio'!$F$29</f>
        <v>77.09</v>
      </c>
      <c r="H217" s="20" cm="1">
        <f t="array" ref="H217">'Delivery Details and calculatio'!$F$30</f>
        <v>94.81</v>
      </c>
    </row>
    <row r="218" ht="13.65" customHeight="1">
      <c r="A218" t="s" s="32">
        <v>284</v>
      </c>
      <c r="B218" s="33">
        <v>4</v>
      </c>
      <c r="C218" t="s" s="32">
        <v>68</v>
      </c>
      <c r="D218" s="20" cm="1">
        <f t="array" ref="D218">'Delivery Details and calculatio'!$D$26</f>
        <v>26.98</v>
      </c>
      <c r="E218" s="20" cm="1">
        <f t="array" ref="E218">'Delivery Details and calculatio'!$D$27</f>
        <v>33.77</v>
      </c>
      <c r="F218" s="20" cm="1">
        <f t="array" ref="F218">'Delivery Details and calculatio'!$D$28</f>
        <v>47.41</v>
      </c>
      <c r="G218" s="20" cm="1">
        <f t="array" ref="G218">'Delivery Details and calculatio'!$D$29</f>
        <v>60.99</v>
      </c>
      <c r="H218" s="20" cm="1">
        <f t="array" ref="H218">'Delivery Details and calculatio'!$D$30</f>
        <v>74.58</v>
      </c>
    </row>
    <row r="219" ht="13.65" customHeight="1">
      <c r="A219" t="s" s="32">
        <v>285</v>
      </c>
      <c r="B219" s="33">
        <v>5</v>
      </c>
      <c r="C219" t="s" s="32">
        <v>66</v>
      </c>
      <c r="D219" s="20" cm="1">
        <f t="array" ref="D219">'Delivery Details and calculatio'!$F$26</f>
        <v>32.73</v>
      </c>
      <c r="E219" s="20" cm="1">
        <f t="array" ref="E219">'Delivery Details and calculatio'!$F$27</f>
        <v>41.61</v>
      </c>
      <c r="F219" s="20" cm="1">
        <f t="array" ref="F219">'Delivery Details and calculatio'!$F$28</f>
        <v>59.38</v>
      </c>
      <c r="G219" s="20" cm="1">
        <f t="array" ref="G219">'Delivery Details and calculatio'!$F$29</f>
        <v>77.09</v>
      </c>
      <c r="H219" s="20" cm="1">
        <f t="array" ref="H219">'Delivery Details and calculatio'!$F$30</f>
        <v>94.81</v>
      </c>
    </row>
    <row r="220" ht="13.65" customHeight="1">
      <c r="A220" t="s" s="32">
        <v>286</v>
      </c>
      <c r="B220" s="33">
        <v>4</v>
      </c>
      <c r="C220" t="s" s="32">
        <v>168</v>
      </c>
      <c r="D220" s="20" cm="1">
        <f t="array" ref="D220">'Delivery Details and calculatio'!$E$17</f>
        <v>26.98</v>
      </c>
      <c r="E220" s="20" cm="1">
        <f t="array" ref="E220">'Delivery Details and calculatio'!$E$18</f>
        <v>33.77</v>
      </c>
      <c r="F220" s="20" cm="1">
        <f t="array" ref="F220">'Delivery Details and calculatio'!$E$19</f>
        <v>47.41</v>
      </c>
      <c r="G220" s="20" cm="1">
        <f t="array" ref="G220">'Delivery Details and calculatio'!$E$20</f>
        <v>60.99</v>
      </c>
      <c r="H220" s="20" cm="1">
        <f t="array" ref="H220">'Delivery Details and calculatio'!$E$21</f>
        <v>74.58</v>
      </c>
    </row>
    <row r="221" ht="13.65" customHeight="1">
      <c r="A221" t="s" s="32">
        <v>287</v>
      </c>
      <c r="B221" s="33">
        <v>3</v>
      </c>
      <c r="C221" t="s" s="32">
        <v>105</v>
      </c>
      <c r="D221" s="20" cm="1">
        <f t="array" ref="D221">'Delivery Details and calculatio'!$D$17</f>
        <v>21.9</v>
      </c>
      <c r="E221" s="20" cm="1">
        <f t="array" ref="E221">'Delivery Details and calculatio'!$D$18</f>
        <v>28.45</v>
      </c>
      <c r="F221" s="20" cm="1">
        <f t="array" ref="F221">'Delivery Details and calculatio'!$D$19</f>
        <v>41.42</v>
      </c>
      <c r="G221" s="20" cm="1">
        <f t="array" ref="G221">'Delivery Details and calculatio'!$D$20</f>
        <v>54.53</v>
      </c>
      <c r="H221" s="20" cm="1">
        <f t="array" ref="H221">'Delivery Details and calculatio'!$D$21</f>
        <v>67.55</v>
      </c>
    </row>
    <row r="222" ht="13.65" customHeight="1">
      <c r="A222" t="s" s="32">
        <v>288</v>
      </c>
      <c r="B222" s="33">
        <v>3</v>
      </c>
      <c r="C222" t="s" s="32">
        <v>105</v>
      </c>
      <c r="D222" s="20" cm="1">
        <f t="array" ref="D222">'Delivery Details and calculatio'!$D$17</f>
        <v>21.9</v>
      </c>
      <c r="E222" s="20" cm="1">
        <f t="array" ref="E222">'Delivery Details and calculatio'!$D$18</f>
        <v>28.45</v>
      </c>
      <c r="F222" s="20" cm="1">
        <f t="array" ref="F222">'Delivery Details and calculatio'!$D$19</f>
        <v>41.42</v>
      </c>
      <c r="G222" s="20" cm="1">
        <f t="array" ref="G222">'Delivery Details and calculatio'!$D$20</f>
        <v>54.53</v>
      </c>
      <c r="H222" s="20" cm="1">
        <f t="array" ref="H222">'Delivery Details and calculatio'!$D$21</f>
        <v>67.55</v>
      </c>
    </row>
    <row r="223" ht="13.65" customHeight="1">
      <c r="A223" t="s" s="32">
        <v>289</v>
      </c>
      <c r="B223" s="33">
        <v>5</v>
      </c>
      <c r="C223" t="s" s="32">
        <v>66</v>
      </c>
      <c r="D223" s="20" cm="1">
        <f t="array" ref="D223">'Delivery Details and calculatio'!$F$26</f>
        <v>32.73</v>
      </c>
      <c r="E223" s="20" cm="1">
        <f t="array" ref="E223">'Delivery Details and calculatio'!$F$27</f>
        <v>41.61</v>
      </c>
      <c r="F223" s="20" cm="1">
        <f t="array" ref="F223">'Delivery Details and calculatio'!$F$28</f>
        <v>59.38</v>
      </c>
      <c r="G223" s="20" cm="1">
        <f t="array" ref="G223">'Delivery Details and calculatio'!$F$29</f>
        <v>77.09</v>
      </c>
      <c r="H223" s="20" cm="1">
        <f t="array" ref="H223">'Delivery Details and calculatio'!$F$30</f>
        <v>94.81</v>
      </c>
    </row>
    <row r="224" ht="13.65" customHeight="1">
      <c r="A224" t="s" s="32">
        <v>290</v>
      </c>
      <c r="B224" s="33">
        <v>5</v>
      </c>
      <c r="C224" t="s" s="32">
        <v>66</v>
      </c>
      <c r="D224" s="20" cm="1">
        <f t="array" ref="D224">'Delivery Details and calculatio'!$F$26</f>
        <v>32.73</v>
      </c>
      <c r="E224" s="20" cm="1">
        <f t="array" ref="E224">'Delivery Details and calculatio'!$F$27</f>
        <v>41.61</v>
      </c>
      <c r="F224" s="20" cm="1">
        <f t="array" ref="F224">'Delivery Details and calculatio'!$F$28</f>
        <v>59.38</v>
      </c>
      <c r="G224" s="20" cm="1">
        <f t="array" ref="G224">'Delivery Details and calculatio'!$F$29</f>
        <v>77.09</v>
      </c>
      <c r="H224" s="20" cm="1">
        <f t="array" ref="H224">'Delivery Details and calculatio'!$F$30</f>
        <v>94.81</v>
      </c>
    </row>
    <row r="225" ht="13.65" customHeight="1">
      <c r="A225" t="s" s="32">
        <v>291</v>
      </c>
      <c r="B225" s="33">
        <v>2</v>
      </c>
      <c r="C225" t="s" s="32">
        <v>71</v>
      </c>
      <c r="D225" s="20" cm="1">
        <f t="array" ref="D225">'Delivery Details and calculatio'!$B$26</f>
        <v>19.57</v>
      </c>
      <c r="E225" s="20" cm="1">
        <f t="array" ref="E225">'Delivery Details and calculatio'!$B$27</f>
        <v>25.51</v>
      </c>
      <c r="F225" s="20" cm="1">
        <f t="array" ref="F225">'Delivery Details and calculatio'!$B$28</f>
        <v>37.43</v>
      </c>
      <c r="G225" s="20" cm="1">
        <f t="array" ref="G225">'Delivery Details and calculatio'!$B$29</f>
        <v>49.35</v>
      </c>
      <c r="H225" s="20" cm="1">
        <f t="array" ref="H225">'Delivery Details and calculatio'!$B$30</f>
        <v>61.28</v>
      </c>
    </row>
    <row r="226" ht="13.65" customHeight="1">
      <c r="A226" t="s" s="32">
        <v>292</v>
      </c>
      <c r="B226" s="33">
        <v>5</v>
      </c>
      <c r="C226" t="s" s="32">
        <v>66</v>
      </c>
      <c r="D226" s="20" cm="1">
        <f t="array" ref="D226">'Delivery Details and calculatio'!$F$26</f>
        <v>32.73</v>
      </c>
      <c r="E226" s="20" cm="1">
        <f t="array" ref="E226">'Delivery Details and calculatio'!$F$27</f>
        <v>41.61</v>
      </c>
      <c r="F226" s="20" cm="1">
        <f t="array" ref="F226">'Delivery Details and calculatio'!$F$28</f>
        <v>59.38</v>
      </c>
      <c r="G226" s="20" cm="1">
        <f t="array" ref="G226">'Delivery Details and calculatio'!$F$29</f>
        <v>77.09</v>
      </c>
      <c r="H226" s="20" cm="1">
        <f t="array" ref="H226">'Delivery Details and calculatio'!$F$30</f>
        <v>94.81</v>
      </c>
    </row>
    <row r="227" ht="13.65" customHeight="1">
      <c r="A227" t="s" s="32">
        <v>293</v>
      </c>
      <c r="B227" s="33">
        <v>5</v>
      </c>
      <c r="C227" t="s" s="32">
        <v>66</v>
      </c>
      <c r="D227" s="20" cm="1">
        <f t="array" ref="D227">'Delivery Details and calculatio'!$F$26</f>
        <v>32.73</v>
      </c>
      <c r="E227" s="20" cm="1">
        <f t="array" ref="E227">'Delivery Details and calculatio'!$F$27</f>
        <v>41.61</v>
      </c>
      <c r="F227" s="20" cm="1">
        <f t="array" ref="F227">'Delivery Details and calculatio'!$F$28</f>
        <v>59.38</v>
      </c>
      <c r="G227" s="20" cm="1">
        <f t="array" ref="G227">'Delivery Details and calculatio'!$F$29</f>
        <v>77.09</v>
      </c>
      <c r="H227" s="20" cm="1">
        <f t="array" ref="H227">'Delivery Details and calculatio'!$F$30</f>
        <v>94.81</v>
      </c>
    </row>
    <row r="228" ht="13.65" customHeight="1">
      <c r="A228" t="s" s="32">
        <v>294</v>
      </c>
      <c r="B228" s="33">
        <v>2</v>
      </c>
      <c r="C228" t="s" s="32">
        <v>71</v>
      </c>
      <c r="D228" s="20" cm="1">
        <f t="array" ref="D228">'Delivery Details and calculatio'!$B$26</f>
        <v>19.57</v>
      </c>
      <c r="E228" s="20" cm="1">
        <f t="array" ref="E228">'Delivery Details and calculatio'!$B$27</f>
        <v>25.51</v>
      </c>
      <c r="F228" s="20" cm="1">
        <f t="array" ref="F228">'Delivery Details and calculatio'!$B$28</f>
        <v>37.43</v>
      </c>
      <c r="G228" s="20" cm="1">
        <f t="array" ref="G228">'Delivery Details and calculatio'!$B$29</f>
        <v>49.35</v>
      </c>
      <c r="H228" s="20" cm="1">
        <f t="array" ref="H228">'Delivery Details and calculatio'!$B$30</f>
        <v>61.28</v>
      </c>
    </row>
    <row r="229" ht="13.65" customHeight="1">
      <c r="A229" t="s" s="32">
        <v>295</v>
      </c>
      <c r="B229" s="33">
        <v>5</v>
      </c>
      <c r="C229" t="s" s="32">
        <v>66</v>
      </c>
      <c r="D229" s="20" cm="1">
        <f t="array" ref="D229">'Delivery Details and calculatio'!$F$26</f>
        <v>32.73</v>
      </c>
      <c r="E229" s="20" cm="1">
        <f t="array" ref="E229">'Delivery Details and calculatio'!$F$27</f>
        <v>41.61</v>
      </c>
      <c r="F229" s="20" cm="1">
        <f t="array" ref="F229">'Delivery Details and calculatio'!$F$28</f>
        <v>59.38</v>
      </c>
      <c r="G229" s="20" cm="1">
        <f t="array" ref="G229">'Delivery Details and calculatio'!$F$29</f>
        <v>77.09</v>
      </c>
      <c r="H229" s="20" cm="1">
        <f t="array" ref="H229">'Delivery Details and calculatio'!$F$30</f>
        <v>94.81</v>
      </c>
    </row>
    <row r="230" ht="13.65" customHeight="1">
      <c r="A230" t="s" s="32">
        <v>296</v>
      </c>
      <c r="B230" s="33">
        <v>5</v>
      </c>
      <c r="C230" t="s" s="32">
        <v>66</v>
      </c>
      <c r="D230" s="20" cm="1">
        <f t="array" ref="D230">'Delivery Details and calculatio'!$F$26</f>
        <v>32.73</v>
      </c>
      <c r="E230" s="20" cm="1">
        <f t="array" ref="E230">'Delivery Details and calculatio'!$F$27</f>
        <v>41.61</v>
      </c>
      <c r="F230" s="20" cm="1">
        <f t="array" ref="F230">'Delivery Details and calculatio'!$F$28</f>
        <v>59.38</v>
      </c>
      <c r="G230" s="20" cm="1">
        <f t="array" ref="G230">'Delivery Details and calculatio'!$F$29</f>
        <v>77.09</v>
      </c>
      <c r="H230" s="20" cm="1">
        <f t="array" ref="H230">'Delivery Details and calculatio'!$F$30</f>
        <v>94.81</v>
      </c>
    </row>
    <row r="231" ht="13.65" customHeight="1">
      <c r="A231" t="s" s="32">
        <v>297</v>
      </c>
      <c r="B231" s="33">
        <v>2</v>
      </c>
      <c r="C231" t="s" s="32">
        <v>71</v>
      </c>
      <c r="D231" s="20" cm="1">
        <f t="array" ref="D231">'Delivery Details and calculatio'!$B$26</f>
        <v>19.57</v>
      </c>
      <c r="E231" s="20" cm="1">
        <f t="array" ref="E231">'Delivery Details and calculatio'!$B$27</f>
        <v>25.51</v>
      </c>
      <c r="F231" s="20" cm="1">
        <f t="array" ref="F231">'Delivery Details and calculatio'!$B$28</f>
        <v>37.43</v>
      </c>
      <c r="G231" s="20" cm="1">
        <f t="array" ref="G231">'Delivery Details and calculatio'!$B$29</f>
        <v>49.35</v>
      </c>
      <c r="H231" s="20" cm="1">
        <f t="array" ref="H231">'Delivery Details and calculatio'!$B$30</f>
        <v>61.28</v>
      </c>
    </row>
    <row r="232" ht="13.65" customHeight="1">
      <c r="A232" t="s" s="32">
        <v>298</v>
      </c>
      <c r="B232" s="33">
        <v>5</v>
      </c>
      <c r="C232" t="s" s="32">
        <v>66</v>
      </c>
      <c r="D232" s="20" cm="1">
        <f t="array" ref="D232">'Delivery Details and calculatio'!$F$26</f>
        <v>32.73</v>
      </c>
      <c r="E232" s="20" cm="1">
        <f t="array" ref="E232">'Delivery Details and calculatio'!$F$27</f>
        <v>41.61</v>
      </c>
      <c r="F232" s="20" cm="1">
        <f t="array" ref="F232">'Delivery Details and calculatio'!$F$28</f>
        <v>59.38</v>
      </c>
      <c r="G232" s="20" cm="1">
        <f t="array" ref="G232">'Delivery Details and calculatio'!$F$29</f>
        <v>77.09</v>
      </c>
      <c r="H232" s="20" cm="1">
        <f t="array" ref="H232">'Delivery Details and calculatio'!$F$30</f>
        <v>94.81</v>
      </c>
    </row>
    <row r="233" ht="13.65" customHeight="1">
      <c r="A233" t="s" s="32">
        <v>299</v>
      </c>
      <c r="B233" s="33">
        <v>5</v>
      </c>
      <c r="C233" t="s" s="32">
        <v>66</v>
      </c>
      <c r="D233" s="20" cm="1">
        <f t="array" ref="D233">'Delivery Details and calculatio'!$F$26</f>
        <v>32.73</v>
      </c>
      <c r="E233" s="20" cm="1">
        <f t="array" ref="E233">'Delivery Details and calculatio'!$F$27</f>
        <v>41.61</v>
      </c>
      <c r="F233" s="20" cm="1">
        <f t="array" ref="F233">'Delivery Details and calculatio'!$F$28</f>
        <v>59.38</v>
      </c>
      <c r="G233" s="20" cm="1">
        <f t="array" ref="G233">'Delivery Details and calculatio'!$F$29</f>
        <v>77.09</v>
      </c>
      <c r="H233" s="20" cm="1">
        <f t="array" ref="H233">'Delivery Details and calculatio'!$F$30</f>
        <v>94.81</v>
      </c>
    </row>
    <row r="234" ht="13.65" customHeight="1">
      <c r="A234" t="s" s="32">
        <v>300</v>
      </c>
      <c r="B234" s="33">
        <v>5</v>
      </c>
      <c r="C234" t="s" s="32">
        <v>66</v>
      </c>
      <c r="D234" s="20" cm="1">
        <f t="array" ref="D234">'Delivery Details and calculatio'!$F$26</f>
        <v>32.73</v>
      </c>
      <c r="E234" s="20" cm="1">
        <f t="array" ref="E234">'Delivery Details and calculatio'!$F$27</f>
        <v>41.61</v>
      </c>
      <c r="F234" s="20" cm="1">
        <f t="array" ref="F234">'Delivery Details and calculatio'!$F$28</f>
        <v>59.38</v>
      </c>
      <c r="G234" s="20" cm="1">
        <f t="array" ref="G234">'Delivery Details and calculatio'!$F$29</f>
        <v>77.09</v>
      </c>
      <c r="H234" s="20" cm="1">
        <f t="array" ref="H234">'Delivery Details and calculatio'!$F$30</f>
        <v>94.81</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66667" defaultRowHeight="15" customHeight="1" outlineLevelRow="0" outlineLevelCol="0"/>
  <cols>
    <col min="1" max="1" width="22" style="34" customWidth="1"/>
    <col min="2" max="2" width="18" style="34" customWidth="1"/>
    <col min="3" max="3" width="16" style="34" customWidth="1"/>
    <col min="4" max="5" width="8.67188" style="34" customWidth="1"/>
    <col min="6" max="16384" width="8.67188" style="34" customWidth="1"/>
  </cols>
  <sheetData>
    <row r="1" ht="17.55" customHeight="1">
      <c r="A1" t="s" s="29">
        <v>302</v>
      </c>
      <c r="B1" s="8"/>
      <c r="C1" s="8"/>
      <c r="D1" s="35"/>
      <c r="E1" s="36"/>
    </row>
    <row r="2" ht="13.55" customHeight="1">
      <c r="A2" s="31"/>
      <c r="B2" s="15"/>
      <c r="C2" s="15"/>
      <c r="D2" s="37"/>
      <c r="E2" s="38"/>
    </row>
    <row r="3" ht="13.65" customHeight="1">
      <c r="A3" t="s" s="16">
        <v>303</v>
      </c>
      <c r="B3" t="s" s="16">
        <v>304</v>
      </c>
      <c r="C3" t="s" s="16">
        <v>305</v>
      </c>
      <c r="D3" s="39"/>
      <c r="E3" s="38"/>
    </row>
    <row r="4" ht="13.65" customHeight="1">
      <c r="A4" t="s" s="32">
        <v>306</v>
      </c>
      <c r="B4" t="s" s="32">
        <v>306</v>
      </c>
      <c r="C4" t="s" s="32">
        <v>307</v>
      </c>
      <c r="D4" s="39"/>
      <c r="E4" s="38"/>
    </row>
    <row r="5" ht="13.65" customHeight="1">
      <c r="A5" s="33"/>
      <c r="B5" s="33"/>
      <c r="C5" t="s" s="32">
        <v>308</v>
      </c>
      <c r="D5" s="39"/>
      <c r="E5" s="38"/>
    </row>
    <row r="6" ht="13.65" customHeight="1">
      <c r="A6" t="s" s="32">
        <v>309</v>
      </c>
      <c r="B6" t="s" s="32">
        <v>309</v>
      </c>
      <c r="C6" t="s" s="32">
        <v>310</v>
      </c>
      <c r="D6" s="39"/>
      <c r="E6" s="38"/>
    </row>
    <row r="7" ht="13.65" customHeight="1">
      <c r="A7" t="s" s="32">
        <v>311</v>
      </c>
      <c r="B7" t="s" s="32">
        <v>311</v>
      </c>
      <c r="C7" t="s" s="32">
        <v>307</v>
      </c>
      <c r="D7" s="39"/>
      <c r="E7" s="38"/>
    </row>
    <row r="8" ht="13.65" customHeight="1">
      <c r="A8" t="s" s="32">
        <v>312</v>
      </c>
      <c r="B8" t="s" s="32">
        <v>312</v>
      </c>
      <c r="C8" t="s" s="32">
        <v>313</v>
      </c>
      <c r="D8" s="39"/>
      <c r="E8" s="38"/>
    </row>
    <row r="9" ht="13.65" customHeight="1">
      <c r="A9" t="s" s="32">
        <v>314</v>
      </c>
      <c r="B9" t="s" s="32">
        <v>314</v>
      </c>
      <c r="C9" t="s" s="32">
        <v>315</v>
      </c>
      <c r="D9" s="39"/>
      <c r="E9" s="38"/>
    </row>
    <row r="10" ht="13.65" customHeight="1">
      <c r="A10" t="s" s="32">
        <v>316</v>
      </c>
      <c r="B10" t="s" s="32">
        <v>316</v>
      </c>
      <c r="C10" t="s" s="32">
        <v>317</v>
      </c>
      <c r="D10" s="40"/>
      <c r="E10" s="41"/>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66667" defaultRowHeight="15" customHeight="1" outlineLevelRow="0" outlineLevelCol="0"/>
  <cols>
    <col min="1" max="1" width="20" style="42" customWidth="1"/>
    <col min="2" max="2" width="16" style="42" customWidth="1"/>
    <col min="3" max="3" width="14" style="42" customWidth="1"/>
    <col min="4" max="4" width="18" style="42" customWidth="1"/>
    <col min="5" max="5" width="16" style="42" customWidth="1"/>
    <col min="6" max="16384" width="8.67188" style="42" customWidth="1"/>
  </cols>
  <sheetData>
    <row r="1" ht="17.55" customHeight="1">
      <c r="A1" t="s" s="29">
        <v>318</v>
      </c>
      <c r="B1" s="8"/>
      <c r="C1" s="8"/>
      <c r="D1" s="8"/>
      <c r="E1" s="9"/>
    </row>
    <row r="2" ht="13.55" customHeight="1">
      <c r="A2" s="31"/>
      <c r="B2" s="15"/>
      <c r="C2" s="15"/>
      <c r="D2" s="15"/>
      <c r="E2" s="23"/>
    </row>
    <row r="3" ht="13.65" customHeight="1">
      <c r="A3" t="s" s="16">
        <v>303</v>
      </c>
      <c r="B3" t="s" s="16">
        <v>304</v>
      </c>
      <c r="C3" t="s" s="16">
        <v>319</v>
      </c>
      <c r="D3" t="s" s="16">
        <v>320</v>
      </c>
      <c r="E3" t="s" s="16">
        <v>321</v>
      </c>
    </row>
    <row r="4" ht="13.65" customHeight="1">
      <c r="A4" t="s" s="32">
        <v>306</v>
      </c>
      <c r="B4" t="s" s="32">
        <v>306</v>
      </c>
      <c r="C4" t="s" s="32">
        <v>307</v>
      </c>
      <c r="D4" s="20">
        <v>11</v>
      </c>
      <c r="E4" s="20">
        <v>14</v>
      </c>
    </row>
    <row r="5" ht="13.65" customHeight="1">
      <c r="A5" t="s" s="32">
        <v>306</v>
      </c>
      <c r="B5" t="s" s="32">
        <v>306</v>
      </c>
      <c r="C5" t="s" s="32">
        <v>308</v>
      </c>
      <c r="D5" s="20">
        <v>22</v>
      </c>
      <c r="E5" s="20">
        <v>28</v>
      </c>
    </row>
    <row r="6" ht="13.65" customHeight="1">
      <c r="A6" t="s" s="32">
        <v>322</v>
      </c>
      <c r="B6" t="s" s="32">
        <v>323</v>
      </c>
      <c r="C6" t="s" s="32">
        <v>324</v>
      </c>
      <c r="D6" s="20">
        <v>40</v>
      </c>
      <c r="E6" s="20">
        <v>56</v>
      </c>
    </row>
    <row r="7" ht="13.65" customHeight="1">
      <c r="A7" t="s" s="32">
        <v>309</v>
      </c>
      <c r="B7" s="33"/>
      <c r="C7" t="s" s="32">
        <v>310</v>
      </c>
      <c r="D7" s="20">
        <v>7</v>
      </c>
      <c r="E7" s="20">
        <v>8.49</v>
      </c>
    </row>
    <row r="8" ht="13.65" customHeight="1">
      <c r="A8" t="s" s="32">
        <v>311</v>
      </c>
      <c r="B8" s="33"/>
      <c r="C8" t="s" s="32">
        <v>307</v>
      </c>
      <c r="D8" s="20">
        <v>7.5</v>
      </c>
      <c r="E8" s="20">
        <v>10</v>
      </c>
    </row>
    <row r="9" ht="13.65" customHeight="1">
      <c r="A9" t="s" s="32">
        <v>312</v>
      </c>
      <c r="B9" s="33"/>
      <c r="C9" t="s" s="32">
        <v>313</v>
      </c>
      <c r="D9" s="20">
        <v>17</v>
      </c>
      <c r="E9" s="20">
        <v>22.49</v>
      </c>
    </row>
    <row r="10" ht="13.65" customHeight="1">
      <c r="A10" t="s" s="32">
        <v>314</v>
      </c>
      <c r="B10" s="33"/>
      <c r="C10" t="s" s="32">
        <v>315</v>
      </c>
      <c r="D10" s="20">
        <v>7</v>
      </c>
      <c r="E10" s="20">
        <v>9.49</v>
      </c>
    </row>
    <row r="11" ht="13.65" customHeight="1">
      <c r="A11" t="s" s="32">
        <v>316</v>
      </c>
      <c r="B11" s="33"/>
      <c r="C11" t="s" s="32">
        <v>317</v>
      </c>
      <c r="D11" s="20">
        <v>17</v>
      </c>
      <c r="E11" s="20">
        <v>23.39</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
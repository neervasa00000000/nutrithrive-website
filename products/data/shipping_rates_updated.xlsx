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Rate Card Reference (source)" sheetId="1" state="visible" r:id="rId3"/>
    <sheet name="Delivery Details and calculatio" sheetId="2" state="visible" r:id="rId4"/>
    <sheet name="Country Master List" sheetId="3" state="visible" r:id="rId5"/>
    <sheet name="Product Grams" sheetId="4" state="visible" r:id="rId6"/>
    <sheet name="Product Pricing"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<sst xmlns="http://schemas.openxmlformats.org/spreadsheetml/2006/main" count="705" uniqueCount="316">
  <si>
    <t xml:space="preserve">Australia Post MyPost Business — Rate Card Reference</t>
  </si>
  <si>
    <t xml:space="preserve">Source: MyPost Business Rates and Savings Guide, July 2026 (official PDF, user-provided). Domestic = Parcel Post (2+ business days). International = International Post Express.</t>
  </si>
  <si>
    <t xml:space="preserve">Do not edit this sheet by hand — it is the lookup source for every formula in this workbook. Update it only when Australia Post publishes a new rate card.</t>
  </si>
  <si>
    <t xml:space="preserve">DOMESTIC — Parcel Post, up to 5kg (own/AP packaging)</t>
  </si>
  <si>
    <t xml:space="preserve">Band</t>
  </si>
  <si>
    <t xml:space="preserve">Size</t>
  </si>
  <si>
    <t xml:space="preserve">Weight</t>
  </si>
  <si>
    <t xml:space="preserve">Zone 1 ($)</t>
  </si>
  <si>
    <t xml:space="preserve">Zone 2 ($)</t>
  </si>
  <si>
    <t xml:space="preserve">Zone 3 ($)</t>
  </si>
  <si>
    <t xml:space="preserve">Extra Small</t>
  </si>
  <si>
    <t xml:space="preserve">250g</t>
  </si>
  <si>
    <t xml:space="preserve">Small</t>
  </si>
  <si>
    <t xml:space="preserve">500g</t>
  </si>
  <si>
    <t xml:space="preserve">Medium</t>
  </si>
  <si>
    <t xml:space="preserve">1kg</t>
  </si>
  <si>
    <t xml:space="preserve">Large</t>
  </si>
  <si>
    <t xml:space="preserve">3kg</t>
  </si>
  <si>
    <t xml:space="preserve">Extra Large</t>
  </si>
  <si>
    <t xml:space="preserve">5kg</t>
  </si>
  <si>
    <t xml:space="preserve">INTERNATIONAL EXPRESS — key destinations</t>
  </si>
  <si>
    <t xml:space="preserve">NZ Zone1 ($)</t>
  </si>
  <si>
    <t xml:space="preserve">China Zone2 ($)</t>
  </si>
  <si>
    <t xml:space="preserve">USA&amp;Canada Zone3 ($)</t>
  </si>
  <si>
    <t xml:space="preserve">UK&amp;Ireland Zone4 ($)</t>
  </si>
  <si>
    <t xml:space="preserve">Up to 250g</t>
  </si>
  <si>
    <t xml:space="preserve">251g-500g</t>
  </si>
  <si>
    <t xml:space="preserve">501g-1kg</t>
  </si>
  <si>
    <t xml:space="preserve">1.001kg-1.5kg</t>
  </si>
  <si>
    <t xml:space="preserve">1.501kg-2kg</t>
  </si>
  <si>
    <t xml:space="preserve">INTERNATIONAL EXPRESS — other destinations</t>
  </si>
  <si>
    <t xml:space="preserve">Rest of Asia ($)</t>
  </si>
  <si>
    <t xml:space="preserve">Pacific Islands ($)</t>
  </si>
  <si>
    <t xml:space="preserve">Major Europe ($)</t>
  </si>
  <si>
    <t xml:space="preserve">Rest of World 1 ($)</t>
  </si>
  <si>
    <t xml:space="preserve">Rest of World 2 ($)</t>
  </si>
  <si>
    <t xml:space="preserve">Delivery Rates — Live Calculation</t>
  </si>
  <si>
    <t xml:space="preserve">Your current MyPost Business Band:</t>
  </si>
  <si>
    <t xml:space="preserve">&lt;- EDIT THIS CELL when your band changes (check MyPost Business &gt; Send and Save tab). Everything below recalculates automatically.</t>
  </si>
  <si>
    <t xml:space="preserve">DOMESTIC (Parcel Post, up to 5kg)</t>
  </si>
  <si>
    <t xml:space="preserve">Zone 1</t>
  </si>
  <si>
    <t xml:space="preserve">Zone 2</t>
  </si>
  <si>
    <t xml:space="preserve">Zone 3</t>
  </si>
  <si>
    <t xml:space="preserve">NZ (Zone1)</t>
  </si>
  <si>
    <t xml:space="preserve">China (Zone2)</t>
  </si>
  <si>
    <t xml:space="preserve">USA&amp;Canada (Zone3)</t>
  </si>
  <si>
    <t xml:space="preserve">UK&amp;Ireland (Zone4)</t>
  </si>
  <si>
    <t xml:space="preserve">Rest of Asia</t>
  </si>
  <si>
    <t xml:space="preserve">Pacific Islands</t>
  </si>
  <si>
    <t xml:space="preserve">Major Europe</t>
  </si>
  <si>
    <t xml:space="preserve">Rest of World 1</t>
  </si>
  <si>
    <t xml:space="preserve">Rest of World 2</t>
  </si>
  <si>
    <t xml:space="preserve">Country Shipping Rates (International Post Express)</t>
  </si>
  <si>
    <t xml:space="preserve">Rates pull live from 'Delivery Details and calculatio' at your current Band (set on that sheet). 'Asia Pacific' group uses the Rest of Asia rate for all countries in that group (Australia Post prices some Pacific Island nations marginally differently at Band 2+ - under $1 difference - check the Rate Card Reference sheet if shipping high volumes to Pacific Islands specifically).</t>
  </si>
  <si>
    <t xml:space="preserve">Country</t>
  </si>
  <si>
    <t xml:space="preserve">Zone</t>
  </si>
  <si>
    <t xml:space="preserve">Group</t>
  </si>
  <si>
    <t xml:space="preserve">Afghanistan</t>
  </si>
  <si>
    <t xml:space="preserve">Rest of World</t>
  </si>
  <si>
    <t xml:space="preserve">Albania</t>
  </si>
  <si>
    <t xml:space="preserve">UK &amp; Europe</t>
  </si>
  <si>
    <t xml:space="preserve">Algeria</t>
  </si>
  <si>
    <t xml:space="preserve">American Samoa</t>
  </si>
  <si>
    <t xml:space="preserve">Asia Pacific</t>
  </si>
  <si>
    <t xml:space="preserve">Andorra</t>
  </si>
  <si>
    <t xml:space="preserve">Angola</t>
  </si>
  <si>
    <t xml:space="preserve">Anguilla</t>
  </si>
  <si>
    <t xml:space="preserve">Antigua and Barbuda</t>
  </si>
  <si>
    <t xml:space="preserve">Argentina</t>
  </si>
  <si>
    <t xml:space="preserve">Armenia</t>
  </si>
  <si>
    <t xml:space="preserve">Aruba</t>
  </si>
  <si>
    <t xml:space="preserve">Austria</t>
  </si>
  <si>
    <t xml:space="preserve">Azerbaijan</t>
  </si>
  <si>
    <t xml:space="preserve">Bahamas</t>
  </si>
  <si>
    <t xml:space="preserve">Bahrain</t>
  </si>
  <si>
    <t xml:space="preserve">Bangladesh</t>
  </si>
  <si>
    <t xml:space="preserve">Barbados</t>
  </si>
  <si>
    <t xml:space="preserve">Belarus</t>
  </si>
  <si>
    <t xml:space="preserve">Belgium</t>
  </si>
  <si>
    <t xml:space="preserve">Belize</t>
  </si>
  <si>
    <t xml:space="preserve">Benin</t>
  </si>
  <si>
    <t xml:space="preserve">Bermuda</t>
  </si>
  <si>
    <t xml:space="preserve">Bhutan</t>
  </si>
  <si>
    <t xml:space="preserve">Bolivia</t>
  </si>
  <si>
    <t xml:space="preserve">Bonaire, Eustatius and Saba</t>
  </si>
  <si>
    <t xml:space="preserve">Bosnia and Herzegovina</t>
  </si>
  <si>
    <t xml:space="preserve">Botswana</t>
  </si>
  <si>
    <t xml:space="preserve">Brazil</t>
  </si>
  <si>
    <t xml:space="preserve">British Indian Ocean Territory</t>
  </si>
  <si>
    <t xml:space="preserve">Brunei Darussalam</t>
  </si>
  <si>
    <t xml:space="preserve">Bulgaria</t>
  </si>
  <si>
    <t xml:space="preserve">Burkina Faso</t>
  </si>
  <si>
    <t xml:space="preserve">Burundi</t>
  </si>
  <si>
    <t xml:space="preserve">Cabo Verde (formerly Cape Verde)</t>
  </si>
  <si>
    <t xml:space="preserve">Cambodia</t>
  </si>
  <si>
    <t xml:space="preserve">Cameroon</t>
  </si>
  <si>
    <t xml:space="preserve">Canada</t>
  </si>
  <si>
    <t xml:space="preserve">USA &amp; Canada</t>
  </si>
  <si>
    <t xml:space="preserve">Cayman Islands</t>
  </si>
  <si>
    <t xml:space="preserve">Central African Republic</t>
  </si>
  <si>
    <t xml:space="preserve">Chad</t>
  </si>
  <si>
    <t xml:space="preserve">Chile</t>
  </si>
  <si>
    <t xml:space="preserve">China</t>
  </si>
  <si>
    <t xml:space="preserve">Colombia</t>
  </si>
  <si>
    <t xml:space="preserve">Comoros</t>
  </si>
  <si>
    <t xml:space="preserve">Congo (Democratic Republic)</t>
  </si>
  <si>
    <t xml:space="preserve">Congo (Republic)</t>
  </si>
  <si>
    <t xml:space="preserve">Cook Islands</t>
  </si>
  <si>
    <t xml:space="preserve">Costa Rica</t>
  </si>
  <si>
    <t xml:space="preserve">Cote d'Ivoire</t>
  </si>
  <si>
    <t xml:space="preserve">Croatia</t>
  </si>
  <si>
    <t xml:space="preserve">Cuba</t>
  </si>
  <si>
    <t xml:space="preserve">Curaçao</t>
  </si>
  <si>
    <t xml:space="preserve">Cyprus</t>
  </si>
  <si>
    <t xml:space="preserve">Czechia (Czech Republic)</t>
  </si>
  <si>
    <t xml:space="preserve">Denmark</t>
  </si>
  <si>
    <t xml:space="preserve">Djibouti</t>
  </si>
  <si>
    <t xml:space="preserve">Dominica</t>
  </si>
  <si>
    <t xml:space="preserve">Dominican Republic</t>
  </si>
  <si>
    <t xml:space="preserve">Ecuador</t>
  </si>
  <si>
    <t xml:space="preserve">Egypt</t>
  </si>
  <si>
    <t xml:space="preserve">El Salvador</t>
  </si>
  <si>
    <t xml:space="preserve">Equatorial Guinea</t>
  </si>
  <si>
    <t xml:space="preserve">Eritrea</t>
  </si>
  <si>
    <t xml:space="preserve">Estonia</t>
  </si>
  <si>
    <t xml:space="preserve">Eswatini</t>
  </si>
  <si>
    <t xml:space="preserve">Ethiopia</t>
  </si>
  <si>
    <t xml:space="preserve">Falkland Islands (Malvinas)</t>
  </si>
  <si>
    <t xml:space="preserve">Faroe Islands</t>
  </si>
  <si>
    <t xml:space="preserve">Fiji</t>
  </si>
  <si>
    <t xml:space="preserve">Finland</t>
  </si>
  <si>
    <t xml:space="preserve">France</t>
  </si>
  <si>
    <t xml:space="preserve">French Guiana</t>
  </si>
  <si>
    <t xml:space="preserve">French Polynesia</t>
  </si>
  <si>
    <t xml:space="preserve">Gabon</t>
  </si>
  <si>
    <t xml:space="preserve">Gambia</t>
  </si>
  <si>
    <t xml:space="preserve">Georgia</t>
  </si>
  <si>
    <t xml:space="preserve">Germany</t>
  </si>
  <si>
    <t xml:space="preserve">Ghana</t>
  </si>
  <si>
    <t xml:space="preserve">Gibraltar</t>
  </si>
  <si>
    <t xml:space="preserve">Greece</t>
  </si>
  <si>
    <t xml:space="preserve">Greenland</t>
  </si>
  <si>
    <t xml:space="preserve">Grenada</t>
  </si>
  <si>
    <t xml:space="preserve">Guadeloupe</t>
  </si>
  <si>
    <t xml:space="preserve">Guam</t>
  </si>
  <si>
    <t xml:space="preserve">Guatemala</t>
  </si>
  <si>
    <t xml:space="preserve">Guinea</t>
  </si>
  <si>
    <t xml:space="preserve">Guinea-Bissau</t>
  </si>
  <si>
    <t xml:space="preserve">Guyana</t>
  </si>
  <si>
    <t xml:space="preserve">Haiti</t>
  </si>
  <si>
    <t xml:space="preserve">Holy See</t>
  </si>
  <si>
    <t xml:space="preserve">Honduras</t>
  </si>
  <si>
    <t xml:space="preserve">Hong Kong</t>
  </si>
  <si>
    <t xml:space="preserve">Hungary</t>
  </si>
  <si>
    <t xml:space="preserve">Iceland</t>
  </si>
  <si>
    <t xml:space="preserve">India</t>
  </si>
  <si>
    <t xml:space="preserve">Indonesia</t>
  </si>
  <si>
    <t xml:space="preserve">Iran</t>
  </si>
  <si>
    <t xml:space="preserve">Iraq</t>
  </si>
  <si>
    <t xml:space="preserve">Ireland</t>
  </si>
  <si>
    <t xml:space="preserve">UK &amp; Ireland</t>
  </si>
  <si>
    <t xml:space="preserve">Israel</t>
  </si>
  <si>
    <t xml:space="preserve">Italy</t>
  </si>
  <si>
    <t xml:space="preserve">Jamaica</t>
  </si>
  <si>
    <t xml:space="preserve">Japan</t>
  </si>
  <si>
    <t xml:space="preserve">Jordan</t>
  </si>
  <si>
    <t xml:space="preserve">Kazakhstan</t>
  </si>
  <si>
    <t xml:space="preserve">Kenya</t>
  </si>
  <si>
    <t xml:space="preserve">Kiribati</t>
  </si>
  <si>
    <t xml:space="preserve">Kosovo</t>
  </si>
  <si>
    <t xml:space="preserve">Kuwait</t>
  </si>
  <si>
    <t xml:space="preserve">Kyrgyzstan</t>
  </si>
  <si>
    <t xml:space="preserve">Laos</t>
  </si>
  <si>
    <t xml:space="preserve">Latvia</t>
  </si>
  <si>
    <t xml:space="preserve">Lebanon</t>
  </si>
  <si>
    <t xml:space="preserve">Lesotho</t>
  </si>
  <si>
    <t xml:space="preserve">Liberia</t>
  </si>
  <si>
    <t xml:space="preserve">Libya</t>
  </si>
  <si>
    <t xml:space="preserve">Liechtenstein</t>
  </si>
  <si>
    <t xml:space="preserve">Lithuania</t>
  </si>
  <si>
    <t xml:space="preserve">Luxembourg</t>
  </si>
  <si>
    <t xml:space="preserve">Macao</t>
  </si>
  <si>
    <t xml:space="preserve">Madagascar</t>
  </si>
  <si>
    <t xml:space="preserve">Malawi</t>
  </si>
  <si>
    <t xml:space="preserve">Malaysia</t>
  </si>
  <si>
    <t xml:space="preserve">Maldives</t>
  </si>
  <si>
    <t xml:space="preserve">Mali</t>
  </si>
  <si>
    <t xml:space="preserve">Malta</t>
  </si>
  <si>
    <t xml:space="preserve">Marshall Islands</t>
  </si>
  <si>
    <t xml:space="preserve">Martinique</t>
  </si>
  <si>
    <t xml:space="preserve">Mauritania</t>
  </si>
  <si>
    <t xml:space="preserve">Mauritius</t>
  </si>
  <si>
    <t xml:space="preserve">Mexico</t>
  </si>
  <si>
    <t xml:space="preserve">Micronesia</t>
  </si>
  <si>
    <t xml:space="preserve">Moldova</t>
  </si>
  <si>
    <t xml:space="preserve">Monaco</t>
  </si>
  <si>
    <t xml:space="preserve">Mongolia</t>
  </si>
  <si>
    <t xml:space="preserve">Montenegro</t>
  </si>
  <si>
    <t xml:space="preserve">Montserrat</t>
  </si>
  <si>
    <t xml:space="preserve">Morocco</t>
  </si>
  <si>
    <t xml:space="preserve">Mozambique</t>
  </si>
  <si>
    <t xml:space="preserve">Myanmar (Burma)</t>
  </si>
  <si>
    <t xml:space="preserve">Namibia</t>
  </si>
  <si>
    <t xml:space="preserve">Nauru</t>
  </si>
  <si>
    <t xml:space="preserve">Nepal</t>
  </si>
  <si>
    <t xml:space="preserve">Netherlands</t>
  </si>
  <si>
    <t xml:space="preserve">New Caledonia</t>
  </si>
  <si>
    <t xml:space="preserve">New Zealand</t>
  </si>
  <si>
    <t xml:space="preserve">NZ</t>
  </si>
  <si>
    <t xml:space="preserve">Nicaragua</t>
  </si>
  <si>
    <t xml:space="preserve">Niger</t>
  </si>
  <si>
    <t xml:space="preserve">Nigeria</t>
  </si>
  <si>
    <t xml:space="preserve">Niue</t>
  </si>
  <si>
    <t xml:space="preserve">North Korea</t>
  </si>
  <si>
    <t xml:space="preserve">North Macedonia</t>
  </si>
  <si>
    <t xml:space="preserve">Northern Mariana Islands</t>
  </si>
  <si>
    <t xml:space="preserve">Norway</t>
  </si>
  <si>
    <t xml:space="preserve">Oman</t>
  </si>
  <si>
    <t xml:space="preserve">Pakistan</t>
  </si>
  <si>
    <t xml:space="preserve">Palau</t>
  </si>
  <si>
    <t xml:space="preserve">Panama</t>
  </si>
  <si>
    <t xml:space="preserve">Papua New Guinea</t>
  </si>
  <si>
    <t xml:space="preserve">Paraguay</t>
  </si>
  <si>
    <t xml:space="preserve">Peru</t>
  </si>
  <si>
    <t xml:space="preserve">Philippines</t>
  </si>
  <si>
    <t xml:space="preserve">Pitcairn Islands</t>
  </si>
  <si>
    <t xml:space="preserve">Poland</t>
  </si>
  <si>
    <t xml:space="preserve">Portugal</t>
  </si>
  <si>
    <t xml:space="preserve">Puerto Rico</t>
  </si>
  <si>
    <t xml:space="preserve">Qatar</t>
  </si>
  <si>
    <t xml:space="preserve">Reunion</t>
  </si>
  <si>
    <t xml:space="preserve">Romania</t>
  </si>
  <si>
    <t xml:space="preserve">Russian Federation</t>
  </si>
  <si>
    <t xml:space="preserve">Rwanda</t>
  </si>
  <si>
    <t xml:space="preserve">Saint Helena, Ascension and Tristan da Cunha</t>
  </si>
  <si>
    <t xml:space="preserve">Saint Kitts and Nevis</t>
  </si>
  <si>
    <t xml:space="preserve">Saint Lucia</t>
  </si>
  <si>
    <t xml:space="preserve">Saint Martin (French part)</t>
  </si>
  <si>
    <t xml:space="preserve">Saint Pierre and Miquelon</t>
  </si>
  <si>
    <t xml:space="preserve">Saint Vincent and the Grenadines</t>
  </si>
  <si>
    <t xml:space="preserve">Samoa</t>
  </si>
  <si>
    <t xml:space="preserve">Sao Tome and Principe</t>
  </si>
  <si>
    <t xml:space="preserve">Saudi Arabia</t>
  </si>
  <si>
    <t xml:space="preserve">Senegal</t>
  </si>
  <si>
    <t xml:space="preserve">Serbia</t>
  </si>
  <si>
    <t xml:space="preserve">Seychelles</t>
  </si>
  <si>
    <t xml:space="preserve">Sierra Leone</t>
  </si>
  <si>
    <t xml:space="preserve">Singapore</t>
  </si>
  <si>
    <t xml:space="preserve">Slovak Republic (Slovakia)</t>
  </si>
  <si>
    <t xml:space="preserve">Slovenia</t>
  </si>
  <si>
    <t xml:space="preserve">Solomon Islands</t>
  </si>
  <si>
    <t xml:space="preserve">Somalia</t>
  </si>
  <si>
    <t xml:space="preserve">South Africa</t>
  </si>
  <si>
    <t xml:space="preserve">South Korea</t>
  </si>
  <si>
    <t xml:space="preserve">South Sudan</t>
  </si>
  <si>
    <t xml:space="preserve">Spain</t>
  </si>
  <si>
    <t xml:space="preserve">Sri Lanka</t>
  </si>
  <si>
    <t xml:space="preserve">Suriname</t>
  </si>
  <si>
    <t xml:space="preserve">Sweden</t>
  </si>
  <si>
    <t xml:space="preserve">Switzerland</t>
  </si>
  <si>
    <t xml:space="preserve">Syrian Arab Republic</t>
  </si>
  <si>
    <t xml:space="preserve">Taiwan</t>
  </si>
  <si>
    <t xml:space="preserve">Tajikistan</t>
  </si>
  <si>
    <t xml:space="preserve">Tanzania</t>
  </si>
  <si>
    <t xml:space="preserve">Thailand</t>
  </si>
  <si>
    <t xml:space="preserve">Timor Leste</t>
  </si>
  <si>
    <t xml:space="preserve">Togo</t>
  </si>
  <si>
    <t xml:space="preserve">Tokelau Islands</t>
  </si>
  <si>
    <t xml:space="preserve">Tonga</t>
  </si>
  <si>
    <t xml:space="preserve">Trinidad and Tobago</t>
  </si>
  <si>
    <t xml:space="preserve">Tunisia</t>
  </si>
  <si>
    <t xml:space="preserve">Turkiye</t>
  </si>
  <si>
    <t xml:space="preserve">Turkmenistan</t>
  </si>
  <si>
    <t xml:space="preserve">Turks and Caicos Islands</t>
  </si>
  <si>
    <t xml:space="preserve">Tuvalu</t>
  </si>
  <si>
    <t xml:space="preserve">Uganda</t>
  </si>
  <si>
    <t xml:space="preserve">Ukraine</t>
  </si>
  <si>
    <t xml:space="preserve">United Arab Emirates</t>
  </si>
  <si>
    <t xml:space="preserve">United Kingdom (including Northern Ireland)</t>
  </si>
  <si>
    <t xml:space="preserve">United States</t>
  </si>
  <si>
    <t xml:space="preserve">United States Minor Outlying Islands</t>
  </si>
  <si>
    <t xml:space="preserve">Uruguay</t>
  </si>
  <si>
    <t xml:space="preserve">Uzbekistan</t>
  </si>
  <si>
    <t xml:space="preserve">Vanuatu</t>
  </si>
  <si>
    <t xml:space="preserve">Vatican City</t>
  </si>
  <si>
    <t xml:space="preserve">Venezuela, Bolivarian Republic of</t>
  </si>
  <si>
    <t xml:space="preserve">Vietnam</t>
  </si>
  <si>
    <t xml:space="preserve">Virgin Islands (British)</t>
  </si>
  <si>
    <t xml:space="preserve">Virgin Islands (U.S.)</t>
  </si>
  <si>
    <t xml:space="preserve">Wallis and Futuna</t>
  </si>
  <si>
    <t xml:space="preserve">Yemen</t>
  </si>
  <si>
    <t xml:space="preserve">Zambia</t>
  </si>
  <si>
    <t xml:space="preserve">Zimbabwe</t>
  </si>
  <si>
    <t xml:space="preserve">Product Weights (for postage size selection)</t>
  </si>
  <si>
    <t xml:space="preserve">Product Name</t>
  </si>
  <si>
    <t xml:space="preserve">Variation</t>
  </si>
  <si>
    <t xml:space="preserve">Gram Weight</t>
  </si>
  <si>
    <t xml:space="preserve">Moringa</t>
  </si>
  <si>
    <t xml:space="preserve">100g</t>
  </si>
  <si>
    <t xml:space="preserve">200g</t>
  </si>
  <si>
    <t xml:space="preserve">Dried Curry Leaves</t>
  </si>
  <si>
    <t xml:space="preserve">30g</t>
  </si>
  <si>
    <t xml:space="preserve">Darjeeling Black Tea </t>
  </si>
  <si>
    <t xml:space="preserve">Combo pack</t>
  </si>
  <si>
    <t xml:space="preserve">100g + 30g </t>
  </si>
  <si>
    <t xml:space="preserve">Soap </t>
  </si>
  <si>
    <t xml:space="preserve">95g</t>
  </si>
  <si>
    <t xml:space="preserve">Moringa + Soap </t>
  </si>
  <si>
    <t xml:space="preserve">100g + 95</t>
  </si>
  <si>
    <t xml:space="preserve">Product Pricing</t>
  </si>
  <si>
    <t xml:space="preserve">Gram</t>
  </si>
  <si>
    <t xml:space="preserve">Discounted Price ($)</t>
  </si>
  <si>
    <t xml:space="preserve">Actual Price ($)</t>
  </si>
  <si>
    <t xml:space="preserve">Moringa 3 + 1 </t>
  </si>
  <si>
    <t xml:space="preserve">Moringa </t>
  </si>
  <si>
    <t xml:space="preserve">400g</t>
  </si>
</sst>
</file>

<file path=xl/styles.xml><?xml version="1.0" encoding="utf-8"?>
<styleSheet xmlns="http://schemas.openxmlformats.org/spreadsheetml/2006/main">
  <numFmts count="2">
    <numFmt numFmtId="164" formatCode="General"/>
    <numFmt numFmtId="165" formatCode="\$#,##0.00"/>
  </numFmts>
  <fonts count="11">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9"/>
      <color rgb="FF595959"/>
      <name val="Arial"/>
      <family val="0"/>
      <charset val="1"/>
    </font>
    <font>
      <b val="true"/>
      <sz val="11"/>
      <name val="Arial"/>
      <family val="0"/>
      <charset val="1"/>
    </font>
    <font>
      <b val="true"/>
      <sz val="10"/>
      <color rgb="FFFFFFFF"/>
      <name val="Arial"/>
      <family val="0"/>
      <charset val="1"/>
    </font>
    <font>
      <sz val="10"/>
      <name val="Arial"/>
      <family val="0"/>
      <charset val="1"/>
    </font>
    <font>
      <b val="true"/>
      <sz val="12"/>
      <name val="Arial"/>
      <family val="0"/>
      <charset val="1"/>
    </font>
    <font>
      <b val="true"/>
      <sz val="13"/>
      <name val="Arial"/>
      <family val="0"/>
      <charset val="1"/>
    </font>
  </fonts>
  <fills count="4">
    <fill>
      <patternFill patternType="none"/>
    </fill>
    <fill>
      <patternFill patternType="gray125"/>
    </fill>
    <fill>
      <patternFill patternType="solid">
        <fgColor rgb="FFC00000"/>
        <bgColor rgb="FF800000"/>
      </patternFill>
    </fill>
    <fill>
      <patternFill patternType="solid">
        <fgColor rgb="FFFFFF00"/>
        <bgColor rgb="FFFFFF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false" applyProtection="false">
      <alignment horizontal="general" vertical="bottom" textRotation="0" wrapText="false" indent="0" shrinkToFit="false"/>
      <protection locked="true" hidden="false"/>
    </xf>
    <xf numFmtId="164" fontId="9" fillId="3" borderId="1"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6"/>
    <col collapsed="false" customWidth="true" hidden="false" outlineLevel="0" max="3" min="3" style="0" width="22"/>
    <col collapsed="false" customWidth="true" hidden="false" outlineLevel="0" max="7" min="4" style="0" width="16"/>
  </cols>
  <sheetData>
    <row r="1" customFormat="false" ht="17.3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2" t="s">
        <v>2</v>
      </c>
    </row>
    <row r="5" customFormat="false" ht="15" hidden="false" customHeight="false" outlineLevel="0" collapsed="false">
      <c r="A5" s="3" t="s">
        <v>3</v>
      </c>
    </row>
    <row r="6" customFormat="false" ht="15" hidden="false" customHeight="false" outlineLevel="0" collapsed="false">
      <c r="A6" s="4" t="s">
        <v>4</v>
      </c>
      <c r="B6" s="4" t="s">
        <v>5</v>
      </c>
      <c r="C6" s="4" t="s">
        <v>6</v>
      </c>
      <c r="D6" s="4" t="s">
        <v>7</v>
      </c>
      <c r="E6" s="4" t="s">
        <v>8</v>
      </c>
      <c r="F6" s="4" t="s">
        <v>9</v>
      </c>
    </row>
    <row r="7" customFormat="false" ht="15" hidden="false" customHeight="false" outlineLevel="0" collapsed="false">
      <c r="A7" s="5" t="n">
        <v>0</v>
      </c>
      <c r="B7" s="5" t="s">
        <v>10</v>
      </c>
      <c r="C7" s="5" t="s">
        <v>11</v>
      </c>
      <c r="D7" s="6" t="n">
        <v>10.2</v>
      </c>
      <c r="E7" s="6" t="n">
        <v>10.2</v>
      </c>
      <c r="F7" s="6" t="n">
        <v>10.2</v>
      </c>
    </row>
    <row r="8" customFormat="false" ht="15" hidden="false" customHeight="false" outlineLevel="0" collapsed="false">
      <c r="A8" s="5" t="n">
        <v>0</v>
      </c>
      <c r="B8" s="5" t="s">
        <v>12</v>
      </c>
      <c r="C8" s="5" t="s">
        <v>13</v>
      </c>
      <c r="D8" s="6" t="n">
        <v>11.7</v>
      </c>
      <c r="E8" s="6" t="n">
        <v>11.7</v>
      </c>
      <c r="F8" s="6" t="n">
        <v>11.7</v>
      </c>
    </row>
    <row r="9" customFormat="false" ht="15" hidden="false" customHeight="false" outlineLevel="0" collapsed="false">
      <c r="A9" s="5" t="n">
        <v>0</v>
      </c>
      <c r="B9" s="5" t="s">
        <v>14</v>
      </c>
      <c r="C9" s="5" t="s">
        <v>15</v>
      </c>
      <c r="D9" s="6" t="n">
        <v>16</v>
      </c>
      <c r="E9" s="6" t="n">
        <v>16</v>
      </c>
      <c r="F9" s="6" t="n">
        <v>16</v>
      </c>
    </row>
    <row r="10" customFormat="false" ht="15" hidden="false" customHeight="false" outlineLevel="0" collapsed="false">
      <c r="A10" s="5" t="n">
        <v>0</v>
      </c>
      <c r="B10" s="5" t="s">
        <v>16</v>
      </c>
      <c r="C10" s="5" t="s">
        <v>17</v>
      </c>
      <c r="D10" s="6" t="n">
        <v>20.25</v>
      </c>
      <c r="E10" s="6" t="n">
        <v>20.25</v>
      </c>
      <c r="F10" s="6" t="n">
        <v>20.25</v>
      </c>
    </row>
    <row r="11" customFormat="false" ht="15" hidden="false" customHeight="false" outlineLevel="0" collapsed="false">
      <c r="A11" s="5" t="n">
        <v>0</v>
      </c>
      <c r="B11" s="5" t="s">
        <v>18</v>
      </c>
      <c r="C11" s="5" t="s">
        <v>19</v>
      </c>
      <c r="D11" s="6" t="n">
        <v>24.45</v>
      </c>
      <c r="E11" s="6" t="n">
        <v>24.45</v>
      </c>
      <c r="F11" s="6" t="n">
        <v>24.45</v>
      </c>
    </row>
    <row r="12" customFormat="false" ht="15" hidden="false" customHeight="false" outlineLevel="0" collapsed="false">
      <c r="A12" s="5" t="n">
        <v>1</v>
      </c>
      <c r="B12" s="5" t="s">
        <v>10</v>
      </c>
      <c r="C12" s="5" t="s">
        <v>11</v>
      </c>
      <c r="D12" s="6" t="n">
        <v>9.18</v>
      </c>
      <c r="E12" s="6" t="n">
        <v>9.69</v>
      </c>
      <c r="F12" s="6" t="n">
        <v>10.2</v>
      </c>
    </row>
    <row r="13" customFormat="false" ht="15" hidden="false" customHeight="false" outlineLevel="0" collapsed="false">
      <c r="A13" s="5" t="n">
        <v>1</v>
      </c>
      <c r="B13" s="5" t="s">
        <v>12</v>
      </c>
      <c r="C13" s="5" t="s">
        <v>13</v>
      </c>
      <c r="D13" s="6" t="n">
        <v>10.53</v>
      </c>
      <c r="E13" s="6" t="n">
        <v>11.12</v>
      </c>
      <c r="F13" s="6" t="n">
        <v>11.7</v>
      </c>
    </row>
    <row r="14" customFormat="false" ht="15" hidden="false" customHeight="false" outlineLevel="0" collapsed="false">
      <c r="A14" s="5" t="n">
        <v>1</v>
      </c>
      <c r="B14" s="5" t="s">
        <v>14</v>
      </c>
      <c r="C14" s="5" t="s">
        <v>15</v>
      </c>
      <c r="D14" s="6" t="n">
        <v>14.4</v>
      </c>
      <c r="E14" s="6" t="n">
        <v>15.2</v>
      </c>
      <c r="F14" s="6" t="n">
        <v>16</v>
      </c>
    </row>
    <row r="15" customFormat="false" ht="15" hidden="false" customHeight="false" outlineLevel="0" collapsed="false">
      <c r="A15" s="5" t="n">
        <v>1</v>
      </c>
      <c r="B15" s="5" t="s">
        <v>16</v>
      </c>
      <c r="C15" s="5" t="s">
        <v>17</v>
      </c>
      <c r="D15" s="6" t="n">
        <v>18.23</v>
      </c>
      <c r="E15" s="6" t="n">
        <v>19.24</v>
      </c>
      <c r="F15" s="6" t="n">
        <v>20.25</v>
      </c>
    </row>
    <row r="16" customFormat="false" ht="15" hidden="false" customHeight="false" outlineLevel="0" collapsed="false">
      <c r="A16" s="5" t="n">
        <v>1</v>
      </c>
      <c r="B16" s="5" t="s">
        <v>18</v>
      </c>
      <c r="C16" s="5" t="s">
        <v>19</v>
      </c>
      <c r="D16" s="6" t="n">
        <v>22.01</v>
      </c>
      <c r="E16" s="6" t="n">
        <v>23.23</v>
      </c>
      <c r="F16" s="6" t="n">
        <v>24.45</v>
      </c>
    </row>
    <row r="17" customFormat="false" ht="15" hidden="false" customHeight="false" outlineLevel="0" collapsed="false">
      <c r="A17" s="5" t="n">
        <v>2</v>
      </c>
      <c r="B17" s="5" t="s">
        <v>10</v>
      </c>
      <c r="C17" s="5" t="s">
        <v>11</v>
      </c>
      <c r="D17" s="6" t="n">
        <v>7.65</v>
      </c>
      <c r="E17" s="6" t="n">
        <v>8.98</v>
      </c>
      <c r="F17" s="6" t="n">
        <v>10</v>
      </c>
    </row>
    <row r="18" customFormat="false" ht="15" hidden="false" customHeight="false" outlineLevel="0" collapsed="false">
      <c r="A18" s="5" t="n">
        <v>2</v>
      </c>
      <c r="B18" s="5" t="s">
        <v>12</v>
      </c>
      <c r="C18" s="5" t="s">
        <v>13</v>
      </c>
      <c r="D18" s="6" t="n">
        <v>8.78</v>
      </c>
      <c r="E18" s="6" t="n">
        <v>10.3</v>
      </c>
      <c r="F18" s="6" t="n">
        <v>11.47</v>
      </c>
    </row>
    <row r="19" customFormat="false" ht="15" hidden="false" customHeight="false" outlineLevel="0" collapsed="false">
      <c r="A19" s="5" t="n">
        <v>2</v>
      </c>
      <c r="B19" s="5" t="s">
        <v>14</v>
      </c>
      <c r="C19" s="5" t="s">
        <v>15</v>
      </c>
      <c r="D19" s="6" t="n">
        <v>12</v>
      </c>
      <c r="E19" s="6" t="n">
        <v>14.08</v>
      </c>
      <c r="F19" s="6" t="n">
        <v>15.68</v>
      </c>
    </row>
    <row r="20" customFormat="false" ht="15" hidden="false" customHeight="false" outlineLevel="0" collapsed="false">
      <c r="A20" s="5" t="n">
        <v>2</v>
      </c>
      <c r="B20" s="5" t="s">
        <v>16</v>
      </c>
      <c r="C20" s="5" t="s">
        <v>17</v>
      </c>
      <c r="D20" s="6" t="n">
        <v>15.19</v>
      </c>
      <c r="E20" s="6" t="n">
        <v>17.82</v>
      </c>
      <c r="F20" s="6" t="n">
        <v>19.85</v>
      </c>
    </row>
    <row r="21" customFormat="false" ht="15" hidden="false" customHeight="false" outlineLevel="0" collapsed="false">
      <c r="A21" s="5" t="n">
        <v>2</v>
      </c>
      <c r="B21" s="5" t="s">
        <v>18</v>
      </c>
      <c r="C21" s="5" t="s">
        <v>19</v>
      </c>
      <c r="D21" s="6" t="n">
        <v>18.34</v>
      </c>
      <c r="E21" s="6" t="n">
        <v>21.52</v>
      </c>
      <c r="F21" s="6" t="n">
        <v>23.96</v>
      </c>
    </row>
    <row r="22" customFormat="false" ht="15" hidden="false" customHeight="false" outlineLevel="0" collapsed="false">
      <c r="A22" s="5" t="n">
        <v>3</v>
      </c>
      <c r="B22" s="5" t="s">
        <v>10</v>
      </c>
      <c r="C22" s="5" t="s">
        <v>11</v>
      </c>
      <c r="D22" s="6" t="n">
        <v>7.14</v>
      </c>
      <c r="E22" s="6" t="n">
        <v>8.57</v>
      </c>
      <c r="F22" s="6" t="n">
        <v>9.89</v>
      </c>
    </row>
    <row r="23" customFormat="false" ht="15" hidden="false" customHeight="false" outlineLevel="0" collapsed="false">
      <c r="A23" s="5" t="n">
        <v>3</v>
      </c>
      <c r="B23" s="5" t="s">
        <v>12</v>
      </c>
      <c r="C23" s="5" t="s">
        <v>13</v>
      </c>
      <c r="D23" s="6" t="n">
        <v>8.19</v>
      </c>
      <c r="E23" s="6" t="n">
        <v>9.83</v>
      </c>
      <c r="F23" s="6" t="n">
        <v>11.35</v>
      </c>
    </row>
    <row r="24" customFormat="false" ht="15" hidden="false" customHeight="false" outlineLevel="0" collapsed="false">
      <c r="A24" s="5" t="n">
        <v>3</v>
      </c>
      <c r="B24" s="5" t="s">
        <v>14</v>
      </c>
      <c r="C24" s="5" t="s">
        <v>15</v>
      </c>
      <c r="D24" s="6" t="n">
        <v>11.2</v>
      </c>
      <c r="E24" s="6" t="n">
        <v>13.44</v>
      </c>
      <c r="F24" s="6" t="n">
        <v>15.52</v>
      </c>
    </row>
    <row r="25" customFormat="false" ht="15" hidden="false" customHeight="false" outlineLevel="0" collapsed="false">
      <c r="A25" s="5" t="n">
        <v>3</v>
      </c>
      <c r="B25" s="5" t="s">
        <v>16</v>
      </c>
      <c r="C25" s="5" t="s">
        <v>17</v>
      </c>
      <c r="D25" s="6" t="n">
        <v>14.18</v>
      </c>
      <c r="E25" s="6" t="n">
        <v>17.01</v>
      </c>
      <c r="F25" s="6" t="n">
        <v>19.64</v>
      </c>
    </row>
    <row r="26" customFormat="false" ht="15" hidden="false" customHeight="false" outlineLevel="0" collapsed="false">
      <c r="A26" s="5" t="n">
        <v>3</v>
      </c>
      <c r="B26" s="5" t="s">
        <v>18</v>
      </c>
      <c r="C26" s="5" t="s">
        <v>19</v>
      </c>
      <c r="D26" s="6" t="n">
        <v>17.12</v>
      </c>
      <c r="E26" s="6" t="n">
        <v>20.54</v>
      </c>
      <c r="F26" s="6" t="n">
        <v>23.72</v>
      </c>
    </row>
    <row r="27" customFormat="false" ht="15" hidden="false" customHeight="false" outlineLevel="0" collapsed="false">
      <c r="A27" s="5" t="n">
        <v>4</v>
      </c>
      <c r="B27" s="5" t="s">
        <v>10</v>
      </c>
      <c r="C27" s="5" t="s">
        <v>11</v>
      </c>
      <c r="D27" s="6" t="n">
        <v>6.63</v>
      </c>
      <c r="E27" s="6" t="n">
        <v>8.26</v>
      </c>
      <c r="F27" s="6" t="n">
        <v>9.69</v>
      </c>
    </row>
    <row r="28" customFormat="false" ht="15" hidden="false" customHeight="false" outlineLevel="0" collapsed="false">
      <c r="A28" s="5" t="n">
        <v>4</v>
      </c>
      <c r="B28" s="5" t="s">
        <v>12</v>
      </c>
      <c r="C28" s="5" t="s">
        <v>13</v>
      </c>
      <c r="D28" s="6" t="n">
        <v>7.61</v>
      </c>
      <c r="E28" s="6" t="n">
        <v>9.48</v>
      </c>
      <c r="F28" s="6" t="n">
        <v>11.12</v>
      </c>
    </row>
    <row r="29" customFormat="false" ht="15" hidden="false" customHeight="false" outlineLevel="0" collapsed="false">
      <c r="A29" s="5" t="n">
        <v>4</v>
      </c>
      <c r="B29" s="5" t="s">
        <v>14</v>
      </c>
      <c r="C29" s="5" t="s">
        <v>15</v>
      </c>
      <c r="D29" s="6" t="n">
        <v>10.4</v>
      </c>
      <c r="E29" s="6" t="n">
        <v>12.96</v>
      </c>
      <c r="F29" s="6" t="n">
        <v>15.2</v>
      </c>
    </row>
    <row r="30" customFormat="false" ht="15" hidden="false" customHeight="false" outlineLevel="0" collapsed="false">
      <c r="A30" s="5" t="n">
        <v>4</v>
      </c>
      <c r="B30" s="5" t="s">
        <v>16</v>
      </c>
      <c r="C30" s="5" t="s">
        <v>17</v>
      </c>
      <c r="D30" s="6" t="n">
        <v>13.16</v>
      </c>
      <c r="E30" s="6" t="n">
        <v>16.4</v>
      </c>
      <c r="F30" s="6" t="n">
        <v>19.24</v>
      </c>
    </row>
    <row r="31" customFormat="false" ht="15" hidden="false" customHeight="false" outlineLevel="0" collapsed="false">
      <c r="A31" s="5" t="n">
        <v>4</v>
      </c>
      <c r="B31" s="5" t="s">
        <v>18</v>
      </c>
      <c r="C31" s="5" t="s">
        <v>19</v>
      </c>
      <c r="D31" s="6" t="n">
        <v>15.89</v>
      </c>
      <c r="E31" s="6" t="n">
        <v>19.8</v>
      </c>
      <c r="F31" s="6" t="n">
        <v>23.23</v>
      </c>
    </row>
    <row r="32" customFormat="false" ht="15" hidden="false" customHeight="false" outlineLevel="0" collapsed="false">
      <c r="A32" s="5" t="n">
        <v>5</v>
      </c>
      <c r="B32" s="5" t="s">
        <v>10</v>
      </c>
      <c r="C32" s="5" t="s">
        <v>11</v>
      </c>
      <c r="D32" s="6" t="n">
        <v>6.12</v>
      </c>
      <c r="E32" s="6" t="n">
        <v>8.16</v>
      </c>
      <c r="F32" s="6" t="n">
        <v>9.69</v>
      </c>
    </row>
    <row r="33" customFormat="false" ht="15" hidden="false" customHeight="false" outlineLevel="0" collapsed="false">
      <c r="A33" s="5" t="n">
        <v>5</v>
      </c>
      <c r="B33" s="5" t="s">
        <v>12</v>
      </c>
      <c r="C33" s="5" t="s">
        <v>13</v>
      </c>
      <c r="D33" s="6" t="n">
        <v>7.02</v>
      </c>
      <c r="E33" s="6" t="n">
        <v>9.36</v>
      </c>
      <c r="F33" s="6" t="n">
        <v>11.12</v>
      </c>
    </row>
    <row r="34" customFormat="false" ht="15" hidden="false" customHeight="false" outlineLevel="0" collapsed="false">
      <c r="A34" s="5" t="n">
        <v>5</v>
      </c>
      <c r="B34" s="5" t="s">
        <v>14</v>
      </c>
      <c r="C34" s="5" t="s">
        <v>15</v>
      </c>
      <c r="D34" s="6" t="n">
        <v>9.6</v>
      </c>
      <c r="E34" s="6" t="n">
        <v>12.8</v>
      </c>
      <c r="F34" s="6" t="n">
        <v>15.2</v>
      </c>
    </row>
    <row r="35" customFormat="false" ht="15" hidden="false" customHeight="false" outlineLevel="0" collapsed="false">
      <c r="A35" s="5" t="n">
        <v>5</v>
      </c>
      <c r="B35" s="5" t="s">
        <v>16</v>
      </c>
      <c r="C35" s="5" t="s">
        <v>17</v>
      </c>
      <c r="D35" s="6" t="n">
        <v>12.15</v>
      </c>
      <c r="E35" s="6" t="n">
        <v>16.2</v>
      </c>
      <c r="F35" s="6" t="n">
        <v>19.24</v>
      </c>
    </row>
    <row r="36" customFormat="false" ht="15" hidden="false" customHeight="false" outlineLevel="0" collapsed="false">
      <c r="A36" s="5" t="n">
        <v>5</v>
      </c>
      <c r="B36" s="5" t="s">
        <v>18</v>
      </c>
      <c r="C36" s="5" t="s">
        <v>19</v>
      </c>
      <c r="D36" s="6" t="n">
        <v>14.67</v>
      </c>
      <c r="E36" s="6" t="n">
        <v>19.56</v>
      </c>
      <c r="F36" s="6" t="n">
        <v>23.23</v>
      </c>
    </row>
    <row r="39" customFormat="false" ht="15" hidden="false" customHeight="false" outlineLevel="0" collapsed="false">
      <c r="A39" s="3" t="s">
        <v>20</v>
      </c>
    </row>
    <row r="40" customFormat="false" ht="15" hidden="false" customHeight="false" outlineLevel="0" collapsed="false">
      <c r="A40" s="4" t="s">
        <v>4</v>
      </c>
      <c r="B40" s="4" t="s">
        <v>6</v>
      </c>
      <c r="C40" s="4" t="s">
        <v>21</v>
      </c>
      <c r="D40" s="4" t="s">
        <v>22</v>
      </c>
      <c r="E40" s="4" t="s">
        <v>23</v>
      </c>
      <c r="F40" s="4" t="s">
        <v>24</v>
      </c>
    </row>
    <row r="41" customFormat="false" ht="15" hidden="false" customHeight="false" outlineLevel="0" collapsed="false">
      <c r="A41" s="5" t="n">
        <v>0</v>
      </c>
      <c r="B41" s="5" t="s">
        <v>25</v>
      </c>
      <c r="C41" s="6" t="n">
        <v>17.9</v>
      </c>
      <c r="D41" s="6" t="n">
        <v>20.6</v>
      </c>
      <c r="E41" s="6" t="n">
        <v>23.05</v>
      </c>
      <c r="F41" s="6" t="n">
        <v>28.4</v>
      </c>
    </row>
    <row r="42" customFormat="false" ht="15" hidden="false" customHeight="false" outlineLevel="0" collapsed="false">
      <c r="A42" s="5" t="n">
        <v>0</v>
      </c>
      <c r="B42" s="5" t="s">
        <v>26</v>
      </c>
      <c r="C42" s="6" t="n">
        <v>21.6</v>
      </c>
      <c r="D42" s="6" t="n">
        <v>26.85</v>
      </c>
      <c r="E42" s="6" t="n">
        <v>29.95</v>
      </c>
      <c r="F42" s="6" t="n">
        <v>35.55</v>
      </c>
    </row>
    <row r="43" customFormat="false" ht="15" hidden="false" customHeight="false" outlineLevel="0" collapsed="false">
      <c r="A43" s="5" t="n">
        <v>0</v>
      </c>
      <c r="B43" s="5" t="s">
        <v>27</v>
      </c>
      <c r="C43" s="6" t="n">
        <v>29</v>
      </c>
      <c r="D43" s="6" t="n">
        <v>39.4</v>
      </c>
      <c r="E43" s="6" t="n">
        <v>43.6</v>
      </c>
      <c r="F43" s="6" t="n">
        <v>49.9</v>
      </c>
    </row>
    <row r="44" customFormat="false" ht="15" hidden="false" customHeight="false" outlineLevel="0" collapsed="false">
      <c r="A44" s="5" t="n">
        <v>0</v>
      </c>
      <c r="B44" s="5" t="s">
        <v>28</v>
      </c>
      <c r="C44" s="6" t="n">
        <v>36.4</v>
      </c>
      <c r="D44" s="6" t="n">
        <v>51.95</v>
      </c>
      <c r="E44" s="6" t="n">
        <v>57.4</v>
      </c>
      <c r="F44" s="6" t="n">
        <v>64.2</v>
      </c>
    </row>
    <row r="45" customFormat="false" ht="15" hidden="false" customHeight="false" outlineLevel="0" collapsed="false">
      <c r="A45" s="5" t="n">
        <v>0</v>
      </c>
      <c r="B45" s="5" t="s">
        <v>29</v>
      </c>
      <c r="C45" s="6" t="n">
        <v>43.8</v>
      </c>
      <c r="D45" s="6" t="n">
        <v>64.5</v>
      </c>
      <c r="E45" s="6" t="n">
        <v>71.1</v>
      </c>
      <c r="F45" s="6" t="n">
        <v>78.5</v>
      </c>
    </row>
    <row r="46" customFormat="false" ht="15" hidden="false" customHeight="false" outlineLevel="0" collapsed="false">
      <c r="A46" s="5" t="n">
        <v>1</v>
      </c>
      <c r="B46" s="5" t="s">
        <v>25</v>
      </c>
      <c r="C46" s="6" t="n">
        <v>17.01</v>
      </c>
      <c r="D46" s="6" t="n">
        <v>19.57</v>
      </c>
      <c r="E46" s="6" t="n">
        <v>21.9</v>
      </c>
      <c r="F46" s="6" t="n">
        <v>26.98</v>
      </c>
    </row>
    <row r="47" customFormat="false" ht="15" hidden="false" customHeight="false" outlineLevel="0" collapsed="false">
      <c r="A47" s="5" t="n">
        <v>1</v>
      </c>
      <c r="B47" s="5" t="s">
        <v>26</v>
      </c>
      <c r="C47" s="6" t="n">
        <v>20.52</v>
      </c>
      <c r="D47" s="6" t="n">
        <v>25.51</v>
      </c>
      <c r="E47" s="6" t="n">
        <v>28.45</v>
      </c>
      <c r="F47" s="6" t="n">
        <v>33.77</v>
      </c>
    </row>
    <row r="48" customFormat="false" ht="15" hidden="false" customHeight="false" outlineLevel="0" collapsed="false">
      <c r="A48" s="5" t="n">
        <v>1</v>
      </c>
      <c r="B48" s="5" t="s">
        <v>27</v>
      </c>
      <c r="C48" s="6" t="n">
        <v>27.55</v>
      </c>
      <c r="D48" s="6" t="n">
        <v>37.43</v>
      </c>
      <c r="E48" s="6" t="n">
        <v>41.42</v>
      </c>
      <c r="F48" s="6" t="n">
        <v>47.41</v>
      </c>
    </row>
    <row r="49" customFormat="false" ht="15" hidden="false" customHeight="false" outlineLevel="0" collapsed="false">
      <c r="A49" s="5" t="n">
        <v>1</v>
      </c>
      <c r="B49" s="5" t="s">
        <v>28</v>
      </c>
      <c r="C49" s="6" t="n">
        <v>34.58</v>
      </c>
      <c r="D49" s="6" t="n">
        <v>49.35</v>
      </c>
      <c r="E49" s="6" t="n">
        <v>54.53</v>
      </c>
      <c r="F49" s="6" t="n">
        <v>60.99</v>
      </c>
    </row>
    <row r="50" customFormat="false" ht="15" hidden="false" customHeight="false" outlineLevel="0" collapsed="false">
      <c r="A50" s="5" t="n">
        <v>1</v>
      </c>
      <c r="B50" s="5" t="s">
        <v>29</v>
      </c>
      <c r="C50" s="6" t="n">
        <v>41.61</v>
      </c>
      <c r="D50" s="6" t="n">
        <v>61.28</v>
      </c>
      <c r="E50" s="6" t="n">
        <v>67.55</v>
      </c>
      <c r="F50" s="6" t="n">
        <v>74.58</v>
      </c>
    </row>
    <row r="51" customFormat="false" ht="15" hidden="false" customHeight="false" outlineLevel="0" collapsed="false">
      <c r="A51" s="5" t="n">
        <v>2</v>
      </c>
      <c r="B51" s="5" t="s">
        <v>25</v>
      </c>
      <c r="C51" s="6" t="n">
        <v>14.32</v>
      </c>
      <c r="D51" s="6" t="n">
        <v>17.51</v>
      </c>
      <c r="E51" s="6" t="n">
        <v>19.59</v>
      </c>
      <c r="F51" s="6" t="n">
        <v>24.14</v>
      </c>
    </row>
    <row r="52" customFormat="false" ht="15" hidden="false" customHeight="false" outlineLevel="0" collapsed="false">
      <c r="A52" s="5" t="n">
        <v>2</v>
      </c>
      <c r="B52" s="5" t="s">
        <v>26</v>
      </c>
      <c r="C52" s="6" t="n">
        <v>17.28</v>
      </c>
      <c r="D52" s="6" t="n">
        <v>22.82</v>
      </c>
      <c r="E52" s="6" t="n">
        <v>25.46</v>
      </c>
      <c r="F52" s="6" t="n">
        <v>30.22</v>
      </c>
    </row>
    <row r="53" customFormat="false" ht="15" hidden="false" customHeight="false" outlineLevel="0" collapsed="false">
      <c r="A53" s="5" t="n">
        <v>2</v>
      </c>
      <c r="B53" s="5" t="s">
        <v>27</v>
      </c>
      <c r="C53" s="6" t="n">
        <v>23.2</v>
      </c>
      <c r="D53" s="6" t="n">
        <v>33.49</v>
      </c>
      <c r="E53" s="6" t="n">
        <v>37.06</v>
      </c>
      <c r="F53" s="6" t="n">
        <v>42.42</v>
      </c>
    </row>
    <row r="54" customFormat="false" ht="15" hidden="false" customHeight="false" outlineLevel="0" collapsed="false">
      <c r="A54" s="5" t="n">
        <v>2</v>
      </c>
      <c r="B54" s="5" t="s">
        <v>28</v>
      </c>
      <c r="C54" s="6" t="n">
        <v>29.12</v>
      </c>
      <c r="D54" s="6" t="n">
        <v>44.16</v>
      </c>
      <c r="E54" s="6" t="n">
        <v>48.79</v>
      </c>
      <c r="F54" s="6" t="n">
        <v>54.57</v>
      </c>
    </row>
    <row r="55" customFormat="false" ht="15" hidden="false" customHeight="false" outlineLevel="0" collapsed="false">
      <c r="A55" s="5" t="n">
        <v>2</v>
      </c>
      <c r="B55" s="5" t="s">
        <v>29</v>
      </c>
      <c r="C55" s="6" t="n">
        <v>35.04</v>
      </c>
      <c r="D55" s="6" t="n">
        <v>54.83</v>
      </c>
      <c r="E55" s="6" t="n">
        <v>60.44</v>
      </c>
      <c r="F55" s="6" t="n">
        <v>66.73</v>
      </c>
    </row>
    <row r="56" customFormat="false" ht="15" hidden="false" customHeight="false" outlineLevel="0" collapsed="false">
      <c r="A56" s="5" t="n">
        <v>3</v>
      </c>
      <c r="B56" s="5" t="s">
        <v>25</v>
      </c>
      <c r="C56" s="6" t="n">
        <v>13.43</v>
      </c>
      <c r="D56" s="6" t="n">
        <v>17</v>
      </c>
      <c r="E56" s="6" t="n">
        <v>19.02</v>
      </c>
      <c r="F56" s="6" t="n">
        <v>23.43</v>
      </c>
    </row>
    <row r="57" customFormat="false" ht="15" hidden="false" customHeight="false" outlineLevel="0" collapsed="false">
      <c r="A57" s="5" t="n">
        <v>3</v>
      </c>
      <c r="B57" s="5" t="s">
        <v>26</v>
      </c>
      <c r="C57" s="6" t="n">
        <v>16.2</v>
      </c>
      <c r="D57" s="6" t="n">
        <v>22.15</v>
      </c>
      <c r="E57" s="6" t="n">
        <v>24.71</v>
      </c>
      <c r="F57" s="6" t="n">
        <v>29.33</v>
      </c>
    </row>
    <row r="58" customFormat="false" ht="15" hidden="false" customHeight="false" outlineLevel="0" collapsed="false">
      <c r="A58" s="5" t="n">
        <v>3</v>
      </c>
      <c r="B58" s="5" t="s">
        <v>27</v>
      </c>
      <c r="C58" s="6" t="n">
        <v>21.75</v>
      </c>
      <c r="D58" s="6" t="n">
        <v>32.51</v>
      </c>
      <c r="E58" s="6" t="n">
        <v>35.97</v>
      </c>
      <c r="F58" s="6" t="n">
        <v>41.17</v>
      </c>
    </row>
    <row r="59" customFormat="false" ht="15" hidden="false" customHeight="false" outlineLevel="0" collapsed="false">
      <c r="A59" s="5" t="n">
        <v>3</v>
      </c>
      <c r="B59" s="5" t="s">
        <v>28</v>
      </c>
      <c r="C59" s="6" t="n">
        <v>27.3</v>
      </c>
      <c r="D59" s="6" t="n">
        <v>42.86</v>
      </c>
      <c r="E59" s="6" t="n">
        <v>47.36</v>
      </c>
      <c r="F59" s="6" t="n">
        <v>52.97</v>
      </c>
    </row>
    <row r="60" customFormat="false" ht="15" hidden="false" customHeight="false" outlineLevel="0" collapsed="false">
      <c r="A60" s="5" t="n">
        <v>3</v>
      </c>
      <c r="B60" s="5" t="s">
        <v>29</v>
      </c>
      <c r="C60" s="6" t="n">
        <v>32.85</v>
      </c>
      <c r="D60" s="6" t="n">
        <v>53.21</v>
      </c>
      <c r="E60" s="6" t="n">
        <v>58.66</v>
      </c>
      <c r="F60" s="6" t="n">
        <v>64.76</v>
      </c>
    </row>
    <row r="61" customFormat="false" ht="15" hidden="false" customHeight="false" outlineLevel="0" collapsed="false">
      <c r="A61" s="5" t="n">
        <v>4</v>
      </c>
      <c r="B61" s="5" t="s">
        <v>25</v>
      </c>
      <c r="C61" s="6" t="n">
        <v>12.53</v>
      </c>
      <c r="D61" s="6" t="n">
        <v>16.48</v>
      </c>
      <c r="E61" s="6" t="n">
        <v>18.44</v>
      </c>
      <c r="F61" s="6" t="n">
        <v>22.72</v>
      </c>
    </row>
    <row r="62" customFormat="false" ht="15" hidden="false" customHeight="false" outlineLevel="0" collapsed="false">
      <c r="A62" s="5" t="n">
        <v>4</v>
      </c>
      <c r="B62" s="5" t="s">
        <v>26</v>
      </c>
      <c r="C62" s="6" t="n">
        <v>15.12</v>
      </c>
      <c r="D62" s="6" t="n">
        <v>21.48</v>
      </c>
      <c r="E62" s="6" t="n">
        <v>23.96</v>
      </c>
      <c r="F62" s="6" t="n">
        <v>28.44</v>
      </c>
    </row>
    <row r="63" customFormat="false" ht="15" hidden="false" customHeight="false" outlineLevel="0" collapsed="false">
      <c r="A63" s="5" t="n">
        <v>4</v>
      </c>
      <c r="B63" s="5" t="s">
        <v>27</v>
      </c>
      <c r="C63" s="6" t="n">
        <v>20.3</v>
      </c>
      <c r="D63" s="6" t="n">
        <v>31.52</v>
      </c>
      <c r="E63" s="6" t="n">
        <v>34.88</v>
      </c>
      <c r="F63" s="6" t="n">
        <v>39.92</v>
      </c>
    </row>
    <row r="64" customFormat="false" ht="15" hidden="false" customHeight="false" outlineLevel="0" collapsed="false">
      <c r="A64" s="5" t="n">
        <v>4</v>
      </c>
      <c r="B64" s="5" t="s">
        <v>28</v>
      </c>
      <c r="C64" s="6" t="n">
        <v>25.48</v>
      </c>
      <c r="D64" s="6" t="n">
        <v>41.56</v>
      </c>
      <c r="E64" s="6" t="n">
        <v>45.92</v>
      </c>
      <c r="F64" s="6" t="n">
        <v>51.36</v>
      </c>
    </row>
    <row r="65" customFormat="false" ht="15" hidden="false" customHeight="false" outlineLevel="0" collapsed="false">
      <c r="A65" s="5" t="n">
        <v>4</v>
      </c>
      <c r="B65" s="5" t="s">
        <v>29</v>
      </c>
      <c r="C65" s="6" t="n">
        <v>30.66</v>
      </c>
      <c r="D65" s="6" t="n">
        <v>51.6</v>
      </c>
      <c r="E65" s="6" t="n">
        <v>56.88</v>
      </c>
      <c r="F65" s="6" t="n">
        <v>62.8</v>
      </c>
    </row>
    <row r="66" customFormat="false" ht="15" hidden="false" customHeight="false" outlineLevel="0" collapsed="false">
      <c r="A66" s="5" t="n">
        <v>5</v>
      </c>
      <c r="B66" s="5" t="s">
        <v>25</v>
      </c>
      <c r="C66" s="6" t="n">
        <v>11.64</v>
      </c>
      <c r="D66" s="6" t="n">
        <v>15.97</v>
      </c>
      <c r="E66" s="6" t="n">
        <v>17.86</v>
      </c>
      <c r="F66" s="6" t="n">
        <v>22.01</v>
      </c>
    </row>
    <row r="67" customFormat="false" ht="15" hidden="false" customHeight="false" outlineLevel="0" collapsed="false">
      <c r="A67" s="5" t="n">
        <v>5</v>
      </c>
      <c r="B67" s="5" t="s">
        <v>26</v>
      </c>
      <c r="C67" s="6" t="n">
        <v>14.04</v>
      </c>
      <c r="D67" s="6" t="n">
        <v>20.81</v>
      </c>
      <c r="E67" s="6" t="n">
        <v>23.21</v>
      </c>
      <c r="F67" s="6" t="n">
        <v>27.55</v>
      </c>
    </row>
    <row r="68" customFormat="false" ht="15" hidden="false" customHeight="false" outlineLevel="0" collapsed="false">
      <c r="A68" s="5" t="n">
        <v>5</v>
      </c>
      <c r="B68" s="5" t="s">
        <v>27</v>
      </c>
      <c r="C68" s="6" t="n">
        <v>18.85</v>
      </c>
      <c r="D68" s="6" t="n">
        <v>30.54</v>
      </c>
      <c r="E68" s="6" t="n">
        <v>33.79</v>
      </c>
      <c r="F68" s="6" t="n">
        <v>38.67</v>
      </c>
    </row>
    <row r="69" customFormat="false" ht="15" hidden="false" customHeight="false" outlineLevel="0" collapsed="false">
      <c r="A69" s="5" t="n">
        <v>5</v>
      </c>
      <c r="B69" s="5" t="s">
        <v>28</v>
      </c>
      <c r="C69" s="6" t="n">
        <v>23.66</v>
      </c>
      <c r="D69" s="6" t="n">
        <v>40.26</v>
      </c>
      <c r="E69" s="6" t="n">
        <v>44.49</v>
      </c>
      <c r="F69" s="6" t="n">
        <v>49.76</v>
      </c>
    </row>
    <row r="70" customFormat="false" ht="15" hidden="false" customHeight="false" outlineLevel="0" collapsed="false">
      <c r="A70" s="5" t="n">
        <v>5</v>
      </c>
      <c r="B70" s="5" t="s">
        <v>29</v>
      </c>
      <c r="C70" s="6" t="n">
        <v>28.47</v>
      </c>
      <c r="D70" s="6" t="n">
        <v>49.99</v>
      </c>
      <c r="E70" s="6" t="n">
        <v>55.1</v>
      </c>
      <c r="F70" s="6" t="n">
        <v>60.84</v>
      </c>
    </row>
    <row r="73" customFormat="false" ht="15" hidden="false" customHeight="false" outlineLevel="0" collapsed="false">
      <c r="A73" s="3" t="s">
        <v>30</v>
      </c>
    </row>
    <row r="74" customFormat="false" ht="15" hidden="false" customHeight="false" outlineLevel="0" collapsed="false">
      <c r="A74" s="4" t="s">
        <v>4</v>
      </c>
      <c r="B74" s="4" t="s">
        <v>6</v>
      </c>
      <c r="C74" s="4" t="s">
        <v>31</v>
      </c>
      <c r="D74" s="4" t="s">
        <v>32</v>
      </c>
      <c r="E74" s="4" t="s">
        <v>33</v>
      </c>
      <c r="F74" s="4" t="s">
        <v>34</v>
      </c>
      <c r="G74" s="4" t="s">
        <v>35</v>
      </c>
    </row>
    <row r="75" customFormat="false" ht="15" hidden="false" customHeight="false" outlineLevel="0" collapsed="false">
      <c r="A75" s="5" t="n">
        <v>0</v>
      </c>
      <c r="B75" s="5" t="s">
        <v>25</v>
      </c>
      <c r="C75" s="6" t="n">
        <v>20.6</v>
      </c>
      <c r="D75" s="6" t="n">
        <v>20.6</v>
      </c>
      <c r="E75" s="6" t="n">
        <v>28.4</v>
      </c>
      <c r="F75" s="6" t="n">
        <v>28.4</v>
      </c>
      <c r="G75" s="6" t="n">
        <v>34.45</v>
      </c>
    </row>
    <row r="76" customFormat="false" ht="15" hidden="false" customHeight="false" outlineLevel="0" collapsed="false">
      <c r="A76" s="5" t="n">
        <v>0</v>
      </c>
      <c r="B76" s="5" t="s">
        <v>26</v>
      </c>
      <c r="C76" s="6" t="n">
        <v>26.85</v>
      </c>
      <c r="D76" s="6" t="n">
        <v>26.85</v>
      </c>
      <c r="E76" s="6" t="n">
        <v>35.55</v>
      </c>
      <c r="F76" s="6" t="n">
        <v>35.55</v>
      </c>
      <c r="G76" s="6" t="n">
        <v>43.8</v>
      </c>
    </row>
    <row r="77" customFormat="false" ht="15" hidden="false" customHeight="false" outlineLevel="0" collapsed="false">
      <c r="A77" s="5" t="n">
        <v>0</v>
      </c>
      <c r="B77" s="5" t="s">
        <v>27</v>
      </c>
      <c r="C77" s="6" t="n">
        <v>39.4</v>
      </c>
      <c r="D77" s="6" t="n">
        <v>39.4</v>
      </c>
      <c r="E77" s="6" t="n">
        <v>49.9</v>
      </c>
      <c r="F77" s="6" t="n">
        <v>49.9</v>
      </c>
      <c r="G77" s="6" t="n">
        <v>62.5</v>
      </c>
    </row>
    <row r="78" customFormat="false" ht="15" hidden="false" customHeight="false" outlineLevel="0" collapsed="false">
      <c r="A78" s="5" t="n">
        <v>0</v>
      </c>
      <c r="B78" s="5" t="s">
        <v>28</v>
      </c>
      <c r="C78" s="6" t="n">
        <v>51.95</v>
      </c>
      <c r="D78" s="6" t="n">
        <v>51.95</v>
      </c>
      <c r="E78" s="6" t="n">
        <v>64.2</v>
      </c>
      <c r="F78" s="6" t="n">
        <v>64.2</v>
      </c>
      <c r="G78" s="6" t="n">
        <v>81.15</v>
      </c>
    </row>
    <row r="79" customFormat="false" ht="15" hidden="false" customHeight="false" outlineLevel="0" collapsed="false">
      <c r="A79" s="5" t="n">
        <v>0</v>
      </c>
      <c r="B79" s="5" t="s">
        <v>29</v>
      </c>
      <c r="C79" s="6" t="n">
        <v>64.5</v>
      </c>
      <c r="D79" s="6" t="n">
        <v>64.5</v>
      </c>
      <c r="E79" s="6" t="n">
        <v>78.5</v>
      </c>
      <c r="F79" s="6" t="n">
        <v>78.5</v>
      </c>
      <c r="G79" s="6" t="n">
        <v>99.8</v>
      </c>
    </row>
    <row r="80" customFormat="false" ht="15" hidden="false" customHeight="false" outlineLevel="0" collapsed="false">
      <c r="A80" s="5" t="n">
        <v>1</v>
      </c>
      <c r="B80" s="5" t="s">
        <v>25</v>
      </c>
      <c r="C80" s="6" t="n">
        <v>19.57</v>
      </c>
      <c r="D80" s="6" t="n">
        <v>19.57</v>
      </c>
      <c r="E80" s="6" t="n">
        <v>26.98</v>
      </c>
      <c r="F80" s="6" t="n">
        <v>26.98</v>
      </c>
      <c r="G80" s="6" t="n">
        <v>32.73</v>
      </c>
    </row>
    <row r="81" customFormat="false" ht="15" hidden="false" customHeight="false" outlineLevel="0" collapsed="false">
      <c r="A81" s="5" t="n">
        <v>1</v>
      </c>
      <c r="B81" s="5" t="s">
        <v>26</v>
      </c>
      <c r="C81" s="6" t="n">
        <v>25.51</v>
      </c>
      <c r="D81" s="6" t="n">
        <v>25.51</v>
      </c>
      <c r="E81" s="6" t="n">
        <v>33.77</v>
      </c>
      <c r="F81" s="6" t="n">
        <v>33.77</v>
      </c>
      <c r="G81" s="6" t="n">
        <v>41.61</v>
      </c>
    </row>
    <row r="82" customFormat="false" ht="15" hidden="false" customHeight="false" outlineLevel="0" collapsed="false">
      <c r="A82" s="5" t="n">
        <v>1</v>
      </c>
      <c r="B82" s="5" t="s">
        <v>27</v>
      </c>
      <c r="C82" s="6" t="n">
        <v>37.43</v>
      </c>
      <c r="D82" s="6" t="n">
        <v>37.43</v>
      </c>
      <c r="E82" s="6" t="n">
        <v>47.41</v>
      </c>
      <c r="F82" s="6" t="n">
        <v>47.41</v>
      </c>
      <c r="G82" s="6" t="n">
        <v>59.38</v>
      </c>
    </row>
    <row r="83" customFormat="false" ht="15" hidden="false" customHeight="false" outlineLevel="0" collapsed="false">
      <c r="A83" s="5" t="n">
        <v>1</v>
      </c>
      <c r="B83" s="5" t="s">
        <v>28</v>
      </c>
      <c r="C83" s="6" t="n">
        <v>49.35</v>
      </c>
      <c r="D83" s="6" t="n">
        <v>49.35</v>
      </c>
      <c r="E83" s="6" t="n">
        <v>60.99</v>
      </c>
      <c r="F83" s="6" t="n">
        <v>60.99</v>
      </c>
      <c r="G83" s="6" t="n">
        <v>77.09</v>
      </c>
    </row>
    <row r="84" customFormat="false" ht="15" hidden="false" customHeight="false" outlineLevel="0" collapsed="false">
      <c r="A84" s="5" t="n">
        <v>1</v>
      </c>
      <c r="B84" s="5" t="s">
        <v>29</v>
      </c>
      <c r="C84" s="6" t="n">
        <v>61.28</v>
      </c>
      <c r="D84" s="6" t="n">
        <v>61.28</v>
      </c>
      <c r="E84" s="6" t="n">
        <v>74.58</v>
      </c>
      <c r="F84" s="6" t="n">
        <v>74.58</v>
      </c>
      <c r="G84" s="6" t="n">
        <v>94.81</v>
      </c>
    </row>
    <row r="85" customFormat="false" ht="15" hidden="false" customHeight="false" outlineLevel="0" collapsed="false">
      <c r="A85" s="5" t="n">
        <v>2</v>
      </c>
      <c r="B85" s="5" t="s">
        <v>25</v>
      </c>
      <c r="C85" s="6" t="n">
        <v>18.54</v>
      </c>
      <c r="D85" s="6" t="n">
        <v>19.06</v>
      </c>
      <c r="E85" s="6" t="n">
        <v>25.56</v>
      </c>
      <c r="F85" s="6" t="n">
        <v>26.27</v>
      </c>
      <c r="G85" s="6" t="n">
        <v>31.87</v>
      </c>
    </row>
    <row r="86" customFormat="false" ht="15" hidden="false" customHeight="false" outlineLevel="0" collapsed="false">
      <c r="A86" s="5" t="n">
        <v>2</v>
      </c>
      <c r="B86" s="5" t="s">
        <v>26</v>
      </c>
      <c r="C86" s="6" t="n">
        <v>24.17</v>
      </c>
      <c r="D86" s="6" t="n">
        <v>24.84</v>
      </c>
      <c r="E86" s="6" t="n">
        <v>32</v>
      </c>
      <c r="F86" s="6" t="n">
        <v>32.88</v>
      </c>
      <c r="G86" s="6" t="n">
        <v>40.52</v>
      </c>
    </row>
    <row r="87" customFormat="false" ht="15" hidden="false" customHeight="false" outlineLevel="0" collapsed="false">
      <c r="A87" s="5" t="n">
        <v>2</v>
      </c>
      <c r="B87" s="5" t="s">
        <v>27</v>
      </c>
      <c r="C87" s="6" t="n">
        <v>35.46</v>
      </c>
      <c r="D87" s="6" t="n">
        <v>36.45</v>
      </c>
      <c r="E87" s="6" t="n">
        <v>44.91</v>
      </c>
      <c r="F87" s="6" t="n">
        <v>46.16</v>
      </c>
      <c r="G87" s="6" t="n">
        <v>57.81</v>
      </c>
    </row>
    <row r="88" customFormat="false" ht="15" hidden="false" customHeight="false" outlineLevel="0" collapsed="false">
      <c r="A88" s="5" t="n">
        <v>2</v>
      </c>
      <c r="B88" s="5" t="s">
        <v>28</v>
      </c>
      <c r="C88" s="6" t="n">
        <v>46.76</v>
      </c>
      <c r="D88" s="6" t="n">
        <v>48.05</v>
      </c>
      <c r="E88" s="6" t="n">
        <v>57.78</v>
      </c>
      <c r="F88" s="6" t="n">
        <v>59.39</v>
      </c>
      <c r="G88" s="6" t="n">
        <v>75.06</v>
      </c>
    </row>
    <row r="89" customFormat="false" ht="15" hidden="false" customHeight="false" outlineLevel="0" collapsed="false">
      <c r="A89" s="5" t="n">
        <v>2</v>
      </c>
      <c r="B89" s="5" t="s">
        <v>29</v>
      </c>
      <c r="C89" s="6" t="n">
        <v>58.05</v>
      </c>
      <c r="D89" s="6" t="n">
        <v>59.66</v>
      </c>
      <c r="E89" s="6" t="n">
        <v>70.65</v>
      </c>
      <c r="F89" s="6" t="n">
        <v>72.61</v>
      </c>
      <c r="G89" s="6" t="n">
        <v>92.32</v>
      </c>
    </row>
    <row r="90" customFormat="false" ht="15" hidden="false" customHeight="false" outlineLevel="0" collapsed="false">
      <c r="A90" s="5" t="n">
        <v>3</v>
      </c>
      <c r="B90" s="5" t="s">
        <v>25</v>
      </c>
      <c r="C90" s="6" t="n">
        <v>18.03</v>
      </c>
      <c r="D90" s="6" t="n">
        <v>18.54</v>
      </c>
      <c r="E90" s="6" t="n">
        <v>24.85</v>
      </c>
      <c r="F90" s="6" t="n">
        <v>25.56</v>
      </c>
      <c r="G90" s="6" t="n">
        <v>31.01</v>
      </c>
    </row>
    <row r="91" customFormat="false" ht="15" hidden="false" customHeight="false" outlineLevel="0" collapsed="false">
      <c r="A91" s="5" t="n">
        <v>3</v>
      </c>
      <c r="B91" s="5" t="s">
        <v>26</v>
      </c>
      <c r="C91" s="6" t="n">
        <v>23.49</v>
      </c>
      <c r="D91" s="6" t="n">
        <v>24.17</v>
      </c>
      <c r="E91" s="6" t="n">
        <v>31.11</v>
      </c>
      <c r="F91" s="6" t="n">
        <v>32</v>
      </c>
      <c r="G91" s="6" t="n">
        <v>39.42</v>
      </c>
    </row>
    <row r="92" customFormat="false" ht="15" hidden="false" customHeight="false" outlineLevel="0" collapsed="false">
      <c r="A92" s="5" t="n">
        <v>3</v>
      </c>
      <c r="B92" s="5" t="s">
        <v>27</v>
      </c>
      <c r="C92" s="6" t="n">
        <v>34.48</v>
      </c>
      <c r="D92" s="6" t="n">
        <v>35.46</v>
      </c>
      <c r="E92" s="6" t="n">
        <v>43.66</v>
      </c>
      <c r="F92" s="6" t="n">
        <v>44.91</v>
      </c>
      <c r="G92" s="6" t="n">
        <v>56.25</v>
      </c>
    </row>
    <row r="93" customFormat="false" ht="15" hidden="false" customHeight="false" outlineLevel="0" collapsed="false">
      <c r="A93" s="5" t="n">
        <v>3</v>
      </c>
      <c r="B93" s="5" t="s">
        <v>28</v>
      </c>
      <c r="C93" s="6" t="n">
        <v>45.46</v>
      </c>
      <c r="D93" s="6" t="n">
        <v>46.76</v>
      </c>
      <c r="E93" s="6" t="n">
        <v>56.18</v>
      </c>
      <c r="F93" s="6" t="n">
        <v>57.78</v>
      </c>
      <c r="G93" s="6" t="n">
        <v>73.04</v>
      </c>
    </row>
    <row r="94" customFormat="false" ht="15" hidden="false" customHeight="false" outlineLevel="0" collapsed="false">
      <c r="A94" s="5" t="n">
        <v>3</v>
      </c>
      <c r="B94" s="5" t="s">
        <v>29</v>
      </c>
      <c r="C94" s="6" t="n">
        <v>56.44</v>
      </c>
      <c r="D94" s="6" t="n">
        <v>58.05</v>
      </c>
      <c r="E94" s="6" t="n">
        <v>68.69</v>
      </c>
      <c r="F94" s="6" t="n">
        <v>70.65</v>
      </c>
      <c r="G94" s="6" t="n">
        <v>89.82</v>
      </c>
    </row>
    <row r="95" customFormat="false" ht="15" hidden="false" customHeight="false" outlineLevel="0" collapsed="false">
      <c r="A95" s="5" t="n">
        <v>4</v>
      </c>
      <c r="B95" s="5" t="s">
        <v>25</v>
      </c>
      <c r="C95" s="6" t="n">
        <v>17.51</v>
      </c>
      <c r="D95" s="6" t="n">
        <v>18.03</v>
      </c>
      <c r="E95" s="6" t="n">
        <v>24.14</v>
      </c>
      <c r="F95" s="6" t="n">
        <v>24.85</v>
      </c>
      <c r="G95" s="6" t="n">
        <v>30.14</v>
      </c>
    </row>
    <row r="96" customFormat="false" ht="15" hidden="false" customHeight="false" outlineLevel="0" collapsed="false">
      <c r="A96" s="5" t="n">
        <v>4</v>
      </c>
      <c r="B96" s="5" t="s">
        <v>26</v>
      </c>
      <c r="C96" s="6" t="n">
        <v>22.82</v>
      </c>
      <c r="D96" s="6" t="n">
        <v>23.49</v>
      </c>
      <c r="E96" s="6" t="n">
        <v>30.22</v>
      </c>
      <c r="F96" s="6" t="n">
        <v>31.11</v>
      </c>
      <c r="G96" s="6" t="n">
        <v>38.33</v>
      </c>
    </row>
    <row r="97" customFormat="false" ht="15" hidden="false" customHeight="false" outlineLevel="0" collapsed="false">
      <c r="A97" s="5" t="n">
        <v>4</v>
      </c>
      <c r="B97" s="5" t="s">
        <v>27</v>
      </c>
      <c r="C97" s="6" t="n">
        <v>33.49</v>
      </c>
      <c r="D97" s="6" t="n">
        <v>34.48</v>
      </c>
      <c r="E97" s="6" t="n">
        <v>42.42</v>
      </c>
      <c r="F97" s="6" t="n">
        <v>43.66</v>
      </c>
      <c r="G97" s="6" t="n">
        <v>54.69</v>
      </c>
    </row>
    <row r="98" customFormat="false" ht="15" hidden="false" customHeight="false" outlineLevel="0" collapsed="false">
      <c r="A98" s="5" t="n">
        <v>4</v>
      </c>
      <c r="B98" s="5" t="s">
        <v>28</v>
      </c>
      <c r="C98" s="6" t="n">
        <v>44.16</v>
      </c>
      <c r="D98" s="6" t="n">
        <v>45.46</v>
      </c>
      <c r="E98" s="6" t="n">
        <v>54.57</v>
      </c>
      <c r="F98" s="6" t="n">
        <v>56.18</v>
      </c>
      <c r="G98" s="6" t="n">
        <v>71.01</v>
      </c>
    </row>
    <row r="99" customFormat="false" ht="15" hidden="false" customHeight="false" outlineLevel="0" collapsed="false">
      <c r="A99" s="5" t="n">
        <v>4</v>
      </c>
      <c r="B99" s="5" t="s">
        <v>29</v>
      </c>
      <c r="C99" s="6" t="n">
        <v>54.83</v>
      </c>
      <c r="D99" s="6" t="n">
        <v>56.44</v>
      </c>
      <c r="E99" s="6" t="n">
        <v>66.73</v>
      </c>
      <c r="F99" s="6" t="n">
        <v>68.69</v>
      </c>
      <c r="G99" s="6" t="n">
        <v>87.33</v>
      </c>
    </row>
    <row r="100" customFormat="false" ht="15" hidden="false" customHeight="false" outlineLevel="0" collapsed="false">
      <c r="A100" s="5" t="n">
        <v>5</v>
      </c>
      <c r="B100" s="5" t="s">
        <v>25</v>
      </c>
      <c r="C100" s="6" t="n">
        <v>17</v>
      </c>
      <c r="D100" s="6" t="n">
        <v>17.51</v>
      </c>
      <c r="E100" s="6" t="n">
        <v>23.43</v>
      </c>
      <c r="F100" s="6" t="n">
        <v>24.14</v>
      </c>
      <c r="G100" s="6" t="n">
        <v>29.28</v>
      </c>
    </row>
    <row r="101" customFormat="false" ht="15" hidden="false" customHeight="false" outlineLevel="0" collapsed="false">
      <c r="A101" s="5" t="n">
        <v>5</v>
      </c>
      <c r="B101" s="5" t="s">
        <v>26</v>
      </c>
      <c r="C101" s="6" t="n">
        <v>22.15</v>
      </c>
      <c r="D101" s="6" t="n">
        <v>22.82</v>
      </c>
      <c r="E101" s="6" t="n">
        <v>29.33</v>
      </c>
      <c r="F101" s="6" t="n">
        <v>30.22</v>
      </c>
      <c r="G101" s="6" t="n">
        <v>37.23</v>
      </c>
    </row>
    <row r="102" customFormat="false" ht="15" hidden="false" customHeight="false" outlineLevel="0" collapsed="false">
      <c r="A102" s="5" t="n">
        <v>5</v>
      </c>
      <c r="B102" s="5" t="s">
        <v>27</v>
      </c>
      <c r="C102" s="6" t="n">
        <v>32.51</v>
      </c>
      <c r="D102" s="6" t="n">
        <v>33.49</v>
      </c>
      <c r="E102" s="6" t="n">
        <v>41.17</v>
      </c>
      <c r="F102" s="6" t="n">
        <v>42.42</v>
      </c>
      <c r="G102" s="6" t="n">
        <v>53.13</v>
      </c>
    </row>
    <row r="103" customFormat="false" ht="15" hidden="false" customHeight="false" outlineLevel="0" collapsed="false">
      <c r="A103" s="5" t="n">
        <v>5</v>
      </c>
      <c r="B103" s="5" t="s">
        <v>28</v>
      </c>
      <c r="C103" s="6" t="n">
        <v>42.86</v>
      </c>
      <c r="D103" s="6" t="n">
        <v>44.16</v>
      </c>
      <c r="E103" s="6" t="n">
        <v>52.97</v>
      </c>
      <c r="F103" s="6" t="n">
        <v>54.57</v>
      </c>
      <c r="G103" s="6" t="n">
        <v>68.98</v>
      </c>
    </row>
    <row r="104" customFormat="false" ht="15" hidden="false" customHeight="false" outlineLevel="0" collapsed="false">
      <c r="A104" s="5" t="n">
        <v>5</v>
      </c>
      <c r="B104" s="5" t="s">
        <v>29</v>
      </c>
      <c r="C104" s="6" t="n">
        <v>53.21</v>
      </c>
      <c r="D104" s="6" t="n">
        <v>54.83</v>
      </c>
      <c r="E104" s="6" t="n">
        <v>64.76</v>
      </c>
      <c r="F104" s="6" t="n">
        <v>66.73</v>
      </c>
      <c r="G104" s="6" t="n">
        <v>84.83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6" min="2" style="0" width="20"/>
  </cols>
  <sheetData>
    <row r="1" customFormat="false" ht="17.35" hidden="false" customHeight="false" outlineLevel="0" collapsed="false">
      <c r="A1" s="1" t="s">
        <v>36</v>
      </c>
    </row>
    <row r="3" customFormat="false" ht="15" hidden="false" customHeight="false" outlineLevel="0" collapsed="false">
      <c r="A3" s="3" t="s">
        <v>37</v>
      </c>
      <c r="B3" s="7" t="n">
        <v>1</v>
      </c>
      <c r="C3" s="2" t="s">
        <v>38</v>
      </c>
    </row>
    <row r="6" customFormat="false" ht="15" hidden="false" customHeight="false" outlineLevel="0" collapsed="false">
      <c r="A6" s="3" t="s">
        <v>39</v>
      </c>
    </row>
    <row r="7" customFormat="false" ht="15" hidden="false" customHeight="false" outlineLevel="0" collapsed="false">
      <c r="A7" s="4" t="s">
        <v>5</v>
      </c>
      <c r="B7" s="4" t="s">
        <v>6</v>
      </c>
      <c r="C7" s="4" t="s">
        <v>40</v>
      </c>
      <c r="D7" s="4" t="s">
        <v>41</v>
      </c>
      <c r="E7" s="4" t="s">
        <v>42</v>
      </c>
    </row>
    <row r="8" customFormat="false" ht="15" hidden="false" customHeight="false" outlineLevel="0" collapsed="false">
      <c r="A8" s="5" t="s">
        <v>10</v>
      </c>
      <c r="B8" s="5" t="s">
        <v>11</v>
      </c>
      <c r="C8" s="6" t="n">
        <f aca="false">INDEX('Rate Card Reference (source)'!$D$7:$D$36,MATCH(1,('Rate Card Reference (source)'!$A$7:$A$36=$B$3)*('Rate Card Reference (source)'!$B$7:$B$36=$A8),0))</f>
        <v>9.18</v>
      </c>
      <c r="D8" s="6" t="n">
        <f aca="false">INDEX('Rate Card Reference (source)'!$E$7:$E$36,MATCH(1,('Rate Card Reference (source)'!$A$7:$A$36=$B$3)*('Rate Card Reference (source)'!$B$7:$B$36=$A8),0))</f>
        <v>9.69</v>
      </c>
      <c r="E8" s="6" t="n">
        <f aca="false">INDEX('Rate Card Reference (source)'!$F$7:$F$36,MATCH(1,('Rate Card Reference (source)'!$A$7:$A$36=$B$3)*('Rate Card Reference (source)'!$B$7:$B$36=$A8),0))</f>
        <v>10.2</v>
      </c>
    </row>
    <row r="9" customFormat="false" ht="15" hidden="false" customHeight="false" outlineLevel="0" collapsed="false">
      <c r="A9" s="5" t="s">
        <v>12</v>
      </c>
      <c r="B9" s="5" t="s">
        <v>13</v>
      </c>
      <c r="C9" s="6" t="n">
        <f aca="false">INDEX('Rate Card Reference (source)'!$D$7:$D$36,MATCH(1,('Rate Card Reference (source)'!$A$7:$A$36=$B$3)*('Rate Card Reference (source)'!$B$7:$B$36=$A9),0))</f>
        <v>10.53</v>
      </c>
      <c r="D9" s="6" t="n">
        <f aca="false">INDEX('Rate Card Reference (source)'!$E$7:$E$36,MATCH(1,('Rate Card Reference (source)'!$A$7:$A$36=$B$3)*('Rate Card Reference (source)'!$B$7:$B$36=$A9),0))</f>
        <v>11.12</v>
      </c>
      <c r="E9" s="6" t="n">
        <f aca="false">INDEX('Rate Card Reference (source)'!$F$7:$F$36,MATCH(1,('Rate Card Reference (source)'!$A$7:$A$36=$B$3)*('Rate Card Reference (source)'!$B$7:$B$36=$A9),0))</f>
        <v>11.7</v>
      </c>
    </row>
    <row r="10" customFormat="false" ht="15" hidden="false" customHeight="false" outlineLevel="0" collapsed="false">
      <c r="A10" s="5" t="s">
        <v>14</v>
      </c>
      <c r="B10" s="5" t="s">
        <v>15</v>
      </c>
      <c r="C10" s="6" t="n">
        <f aca="false">INDEX('Rate Card Reference (source)'!$D$7:$D$36,MATCH(1,('Rate Card Reference (source)'!$A$7:$A$36=$B$3)*('Rate Card Reference (source)'!$B$7:$B$36=$A10),0))</f>
        <v>14.4</v>
      </c>
      <c r="D10" s="6" t="n">
        <f aca="false">INDEX('Rate Card Reference (source)'!$E$7:$E$36,MATCH(1,('Rate Card Reference (source)'!$A$7:$A$36=$B$3)*('Rate Card Reference (source)'!$B$7:$B$36=$A10),0))</f>
        <v>15.2</v>
      </c>
      <c r="E10" s="6" t="n">
        <f aca="false">INDEX('Rate Card Reference (source)'!$F$7:$F$36,MATCH(1,('Rate Card Reference (source)'!$A$7:$A$36=$B$3)*('Rate Card Reference (source)'!$B$7:$B$36=$A10),0))</f>
        <v>16</v>
      </c>
    </row>
    <row r="11" customFormat="false" ht="15" hidden="false" customHeight="false" outlineLevel="0" collapsed="false">
      <c r="A11" s="5" t="s">
        <v>16</v>
      </c>
      <c r="B11" s="5" t="s">
        <v>17</v>
      </c>
      <c r="C11" s="6" t="n">
        <f aca="false">INDEX('Rate Card Reference (source)'!$D$7:$D$36,MATCH(1,('Rate Card Reference (source)'!$A$7:$A$36=$B$3)*('Rate Card Reference (source)'!$B$7:$B$36=$A11),0))</f>
        <v>18.23</v>
      </c>
      <c r="D11" s="6" t="n">
        <f aca="false">INDEX('Rate Card Reference (source)'!$E$7:$E$36,MATCH(1,('Rate Card Reference (source)'!$A$7:$A$36=$B$3)*('Rate Card Reference (source)'!$B$7:$B$36=$A11),0))</f>
        <v>19.24</v>
      </c>
      <c r="E11" s="6" t="n">
        <f aca="false">INDEX('Rate Card Reference (source)'!$F$7:$F$36,MATCH(1,('Rate Card Reference (source)'!$A$7:$A$36=$B$3)*('Rate Card Reference (source)'!$B$7:$B$36=$A11),0))</f>
        <v>20.25</v>
      </c>
    </row>
    <row r="12" customFormat="false" ht="15" hidden="false" customHeight="false" outlineLevel="0" collapsed="false">
      <c r="A12" s="5" t="s">
        <v>18</v>
      </c>
      <c r="B12" s="5" t="s">
        <v>19</v>
      </c>
      <c r="C12" s="6" t="n">
        <f aca="false">INDEX('Rate Card Reference (source)'!$D$7:$D$36,MATCH(1,('Rate Card Reference (source)'!$A$7:$A$36=$B$3)*('Rate Card Reference (source)'!$B$7:$B$36=$A12),0))</f>
        <v>22.01</v>
      </c>
      <c r="D12" s="6" t="n">
        <f aca="false">INDEX('Rate Card Reference (source)'!$E$7:$E$36,MATCH(1,('Rate Card Reference (source)'!$A$7:$A$36=$B$3)*('Rate Card Reference (source)'!$B$7:$B$36=$A12),0))</f>
        <v>23.23</v>
      </c>
      <c r="E12" s="6" t="n">
        <f aca="false">INDEX('Rate Card Reference (source)'!$F$7:$F$36,MATCH(1,('Rate Card Reference (source)'!$A$7:$A$36=$B$3)*('Rate Card Reference (source)'!$B$7:$B$36=$A12),0))</f>
        <v>24.45</v>
      </c>
    </row>
    <row r="15" customFormat="false" ht="15" hidden="false" customHeight="false" outlineLevel="0" collapsed="false">
      <c r="A15" s="3" t="s">
        <v>20</v>
      </c>
    </row>
    <row r="16" customFormat="false" ht="15" hidden="false" customHeight="false" outlineLevel="0" collapsed="false">
      <c r="A16" s="4" t="s">
        <v>6</v>
      </c>
      <c r="B16" s="4" t="s">
        <v>43</v>
      </c>
      <c r="C16" s="4" t="s">
        <v>44</v>
      </c>
      <c r="D16" s="4" t="s">
        <v>45</v>
      </c>
      <c r="E16" s="4" t="s">
        <v>46</v>
      </c>
    </row>
    <row r="17" customFormat="false" ht="15" hidden="false" customHeight="false" outlineLevel="0" collapsed="false">
      <c r="A17" s="5" t="s">
        <v>25</v>
      </c>
      <c r="B17" s="6" t="n">
        <f aca="false">INDEX('Rate Card Reference (source)'!$C$41:$C$70,MATCH(1,('Rate Card Reference (source)'!$A$41:$A$70=$B$3)*('Rate Card Reference (source)'!$B$41:$B$70=$A17),0))</f>
        <v>17.01</v>
      </c>
      <c r="C17" s="6" t="n">
        <f aca="false">INDEX('Rate Card Reference (source)'!$D$41:$D$70,MATCH(1,('Rate Card Reference (source)'!$A$41:$A$70=$B$3)*('Rate Card Reference (source)'!$B$41:$B$70=$A17),0))</f>
        <v>19.57</v>
      </c>
      <c r="D17" s="6" t="n">
        <f aca="false">INDEX('Rate Card Reference (source)'!$E$41:$E$70,MATCH(1,('Rate Card Reference (source)'!$A$41:$A$70=$B$3)*('Rate Card Reference (source)'!$B$41:$B$70=$A17),0))</f>
        <v>21.9</v>
      </c>
      <c r="E17" s="6" t="n">
        <f aca="false">INDEX('Rate Card Reference (source)'!$F$41:$F$70,MATCH(1,('Rate Card Reference (source)'!$A$41:$A$70=$B$3)*('Rate Card Reference (source)'!$B$41:$B$70=$A17),0))</f>
        <v>26.98</v>
      </c>
    </row>
    <row r="18" customFormat="false" ht="15" hidden="false" customHeight="false" outlineLevel="0" collapsed="false">
      <c r="A18" s="5" t="s">
        <v>26</v>
      </c>
      <c r="B18" s="6" t="n">
        <f aca="false">INDEX('Rate Card Reference (source)'!$C$41:$C$70,MATCH(1,('Rate Card Reference (source)'!$A$41:$A$70=$B$3)*('Rate Card Reference (source)'!$B$41:$B$70=$A18),0))</f>
        <v>20.52</v>
      </c>
      <c r="C18" s="6" t="n">
        <f aca="false">INDEX('Rate Card Reference (source)'!$D$41:$D$70,MATCH(1,('Rate Card Reference (source)'!$A$41:$A$70=$B$3)*('Rate Card Reference (source)'!$B$41:$B$70=$A18),0))</f>
        <v>25.51</v>
      </c>
      <c r="D18" s="6" t="n">
        <f aca="false">INDEX('Rate Card Reference (source)'!$E$41:$E$70,MATCH(1,('Rate Card Reference (source)'!$A$41:$A$70=$B$3)*('Rate Card Reference (source)'!$B$41:$B$70=$A18),0))</f>
        <v>28.45</v>
      </c>
      <c r="E18" s="6" t="n">
        <f aca="false">INDEX('Rate Card Reference (source)'!$F$41:$F$70,MATCH(1,('Rate Card Reference (source)'!$A$41:$A$70=$B$3)*('Rate Card Reference (source)'!$B$41:$B$70=$A18),0))</f>
        <v>33.77</v>
      </c>
    </row>
    <row r="19" customFormat="false" ht="15" hidden="false" customHeight="false" outlineLevel="0" collapsed="false">
      <c r="A19" s="5" t="s">
        <v>27</v>
      </c>
      <c r="B19" s="6" t="n">
        <f aca="false">INDEX('Rate Card Reference (source)'!$C$41:$C$70,MATCH(1,('Rate Card Reference (source)'!$A$41:$A$70=$B$3)*('Rate Card Reference (source)'!$B$41:$B$70=$A19),0))</f>
        <v>27.55</v>
      </c>
      <c r="C19" s="6" t="n">
        <f aca="false">INDEX('Rate Card Reference (source)'!$D$41:$D$70,MATCH(1,('Rate Card Reference (source)'!$A$41:$A$70=$B$3)*('Rate Card Reference (source)'!$B$41:$B$70=$A19),0))</f>
        <v>37.43</v>
      </c>
      <c r="D19" s="6" t="n">
        <f aca="false">INDEX('Rate Card Reference (source)'!$E$41:$E$70,MATCH(1,('Rate Card Reference (source)'!$A$41:$A$70=$B$3)*('Rate Card Reference (source)'!$B$41:$B$70=$A19),0))</f>
        <v>41.42</v>
      </c>
      <c r="E19" s="6" t="n">
        <f aca="false">INDEX('Rate Card Reference (source)'!$F$41:$F$70,MATCH(1,('Rate Card Reference (source)'!$A$41:$A$70=$B$3)*('Rate Card Reference (source)'!$B$41:$B$70=$A19),0))</f>
        <v>47.41</v>
      </c>
    </row>
    <row r="20" customFormat="false" ht="15" hidden="false" customHeight="false" outlineLevel="0" collapsed="false">
      <c r="A20" s="5" t="s">
        <v>28</v>
      </c>
      <c r="B20" s="6" t="n">
        <f aca="false">INDEX('Rate Card Reference (source)'!$C$41:$C$70,MATCH(1,('Rate Card Reference (source)'!$A$41:$A$70=$B$3)*('Rate Card Reference (source)'!$B$41:$B$70=$A20),0))</f>
        <v>34.58</v>
      </c>
      <c r="C20" s="6" t="n">
        <f aca="false">INDEX('Rate Card Reference (source)'!$D$41:$D$70,MATCH(1,('Rate Card Reference (source)'!$A$41:$A$70=$B$3)*('Rate Card Reference (source)'!$B$41:$B$70=$A20),0))</f>
        <v>49.35</v>
      </c>
      <c r="D20" s="6" t="n">
        <f aca="false">INDEX('Rate Card Reference (source)'!$E$41:$E$70,MATCH(1,('Rate Card Reference (source)'!$A$41:$A$70=$B$3)*('Rate Card Reference (source)'!$B$41:$B$70=$A20),0))</f>
        <v>54.53</v>
      </c>
      <c r="E20" s="6" t="n">
        <f aca="false">INDEX('Rate Card Reference (source)'!$F$41:$F$70,MATCH(1,('Rate Card Reference (source)'!$A$41:$A$70=$B$3)*('Rate Card Reference (source)'!$B$41:$B$70=$A20),0))</f>
        <v>60.99</v>
      </c>
    </row>
    <row r="21" customFormat="false" ht="15" hidden="false" customHeight="false" outlineLevel="0" collapsed="false">
      <c r="A21" s="5" t="s">
        <v>29</v>
      </c>
      <c r="B21" s="6" t="n">
        <f aca="false">INDEX('Rate Card Reference (source)'!$C$41:$C$70,MATCH(1,('Rate Card Reference (source)'!$A$41:$A$70=$B$3)*('Rate Card Reference (source)'!$B$41:$B$70=$A21),0))</f>
        <v>41.61</v>
      </c>
      <c r="C21" s="6" t="n">
        <f aca="false">INDEX('Rate Card Reference (source)'!$D$41:$D$70,MATCH(1,('Rate Card Reference (source)'!$A$41:$A$70=$B$3)*('Rate Card Reference (source)'!$B$41:$B$70=$A21),0))</f>
        <v>61.28</v>
      </c>
      <c r="D21" s="6" t="n">
        <f aca="false">INDEX('Rate Card Reference (source)'!$E$41:$E$70,MATCH(1,('Rate Card Reference (source)'!$A$41:$A$70=$B$3)*('Rate Card Reference (source)'!$B$41:$B$70=$A21),0))</f>
        <v>67.55</v>
      </c>
      <c r="E21" s="6" t="n">
        <f aca="false">INDEX('Rate Card Reference (source)'!$F$41:$F$70,MATCH(1,('Rate Card Reference (source)'!$A$41:$A$70=$B$3)*('Rate Card Reference (source)'!$B$41:$B$70=$A21),0))</f>
        <v>74.58</v>
      </c>
    </row>
    <row r="24" customFormat="false" ht="15" hidden="false" customHeight="false" outlineLevel="0" collapsed="false">
      <c r="A24" s="3" t="s">
        <v>30</v>
      </c>
    </row>
    <row r="25" customFormat="false" ht="15" hidden="false" customHeight="false" outlineLevel="0" collapsed="false">
      <c r="A25" s="4" t="s">
        <v>6</v>
      </c>
      <c r="B25" s="4" t="s">
        <v>47</v>
      </c>
      <c r="C25" s="4" t="s">
        <v>48</v>
      </c>
      <c r="D25" s="4" t="s">
        <v>49</v>
      </c>
      <c r="E25" s="4" t="s">
        <v>50</v>
      </c>
      <c r="F25" s="4" t="s">
        <v>51</v>
      </c>
    </row>
    <row r="26" customFormat="false" ht="15" hidden="false" customHeight="false" outlineLevel="0" collapsed="false">
      <c r="A26" s="5" t="s">
        <v>25</v>
      </c>
      <c r="B26" s="6" t="n">
        <f aca="false">INDEX('Rate Card Reference (source)'!$C$75:$C$104,MATCH(1,('Rate Card Reference (source)'!$A$75:$A$104=$B$3)*('Rate Card Reference (source)'!$B$75:$B$104=$A26),0))</f>
        <v>19.57</v>
      </c>
      <c r="C26" s="6" t="n">
        <f aca="false">INDEX('Rate Card Reference (source)'!$D$75:$D$104,MATCH(1,('Rate Card Reference (source)'!$A$75:$A$104=$B$3)*('Rate Card Reference (source)'!$B$75:$B$104=$A26),0))</f>
        <v>19.57</v>
      </c>
      <c r="D26" s="6" t="n">
        <f aca="false">INDEX('Rate Card Reference (source)'!$E$75:$E$104,MATCH(1,('Rate Card Reference (source)'!$A$75:$A$104=$B$3)*('Rate Card Reference (source)'!$B$75:$B$104=$A26),0))</f>
        <v>26.98</v>
      </c>
      <c r="E26" s="6" t="n">
        <f aca="false">INDEX('Rate Card Reference (source)'!$F$75:$F$104,MATCH(1,('Rate Card Reference (source)'!$A$75:$A$104=$B$3)*('Rate Card Reference (source)'!$B$75:$B$104=$A26),0))</f>
        <v>26.98</v>
      </c>
      <c r="F26" s="6" t="n">
        <f aca="false">INDEX('Rate Card Reference (source)'!$G$75:$G$104,MATCH(1,('Rate Card Reference (source)'!$A$75:$A$104=$B$3)*('Rate Card Reference (source)'!$B$75:$B$104=$A26),0))</f>
        <v>32.73</v>
      </c>
    </row>
    <row r="27" customFormat="false" ht="15" hidden="false" customHeight="false" outlineLevel="0" collapsed="false">
      <c r="A27" s="5" t="s">
        <v>26</v>
      </c>
      <c r="B27" s="6" t="n">
        <f aca="false">INDEX('Rate Card Reference (source)'!$C$75:$C$104,MATCH(1,('Rate Card Reference (source)'!$A$75:$A$104=$B$3)*('Rate Card Reference (source)'!$B$75:$B$104=$A27),0))</f>
        <v>25.51</v>
      </c>
      <c r="C27" s="6" t="n">
        <f aca="false">INDEX('Rate Card Reference (source)'!$D$75:$D$104,MATCH(1,('Rate Card Reference (source)'!$A$75:$A$104=$B$3)*('Rate Card Reference (source)'!$B$75:$B$104=$A27),0))</f>
        <v>25.51</v>
      </c>
      <c r="D27" s="6" t="n">
        <f aca="false">INDEX('Rate Card Reference (source)'!$E$75:$E$104,MATCH(1,('Rate Card Reference (source)'!$A$75:$A$104=$B$3)*('Rate Card Reference (source)'!$B$75:$B$104=$A27),0))</f>
        <v>33.77</v>
      </c>
      <c r="E27" s="6" t="n">
        <f aca="false">INDEX('Rate Card Reference (source)'!$F$75:$F$104,MATCH(1,('Rate Card Reference (source)'!$A$75:$A$104=$B$3)*('Rate Card Reference (source)'!$B$75:$B$104=$A27),0))</f>
        <v>33.77</v>
      </c>
      <c r="F27" s="6" t="n">
        <f aca="false">INDEX('Rate Card Reference (source)'!$G$75:$G$104,MATCH(1,('Rate Card Reference (source)'!$A$75:$A$104=$B$3)*('Rate Card Reference (source)'!$B$75:$B$104=$A27),0))</f>
        <v>41.61</v>
      </c>
    </row>
    <row r="28" customFormat="false" ht="15" hidden="false" customHeight="false" outlineLevel="0" collapsed="false">
      <c r="A28" s="5" t="s">
        <v>27</v>
      </c>
      <c r="B28" s="6" t="n">
        <f aca="false">INDEX('Rate Card Reference (source)'!$C$75:$C$104,MATCH(1,('Rate Card Reference (source)'!$A$75:$A$104=$B$3)*('Rate Card Reference (source)'!$B$75:$B$104=$A28),0))</f>
        <v>37.43</v>
      </c>
      <c r="C28" s="6" t="n">
        <f aca="false">INDEX('Rate Card Reference (source)'!$D$75:$D$104,MATCH(1,('Rate Card Reference (source)'!$A$75:$A$104=$B$3)*('Rate Card Reference (source)'!$B$75:$B$104=$A28),0))</f>
        <v>37.43</v>
      </c>
      <c r="D28" s="6" t="n">
        <f aca="false">INDEX('Rate Card Reference (source)'!$E$75:$E$104,MATCH(1,('Rate Card Reference (source)'!$A$75:$A$104=$B$3)*('Rate Card Reference (source)'!$B$75:$B$104=$A28),0))</f>
        <v>47.41</v>
      </c>
      <c r="E28" s="6" t="n">
        <f aca="false">INDEX('Rate Card Reference (source)'!$F$75:$F$104,MATCH(1,('Rate Card Reference (source)'!$A$75:$A$104=$B$3)*('Rate Card Reference (source)'!$B$75:$B$104=$A28),0))</f>
        <v>47.41</v>
      </c>
      <c r="F28" s="6" t="n">
        <f aca="false">INDEX('Rate Card Reference (source)'!$G$75:$G$104,MATCH(1,('Rate Card Reference (source)'!$A$75:$A$104=$B$3)*('Rate Card Reference (source)'!$B$75:$B$104=$A28),0))</f>
        <v>59.38</v>
      </c>
    </row>
    <row r="29" customFormat="false" ht="15" hidden="false" customHeight="false" outlineLevel="0" collapsed="false">
      <c r="A29" s="5" t="s">
        <v>28</v>
      </c>
      <c r="B29" s="6" t="n">
        <f aca="false">INDEX('Rate Card Reference (source)'!$C$75:$C$104,MATCH(1,('Rate Card Reference (source)'!$A$75:$A$104=$B$3)*('Rate Card Reference (source)'!$B$75:$B$104=$A29),0))</f>
        <v>49.35</v>
      </c>
      <c r="C29" s="6" t="n">
        <f aca="false">INDEX('Rate Card Reference (source)'!$D$75:$D$104,MATCH(1,('Rate Card Reference (source)'!$A$75:$A$104=$B$3)*('Rate Card Reference (source)'!$B$75:$B$104=$A29),0))</f>
        <v>49.35</v>
      </c>
      <c r="D29" s="6" t="n">
        <f aca="false">INDEX('Rate Card Reference (source)'!$E$75:$E$104,MATCH(1,('Rate Card Reference (source)'!$A$75:$A$104=$B$3)*('Rate Card Reference (source)'!$B$75:$B$104=$A29),0))</f>
        <v>60.99</v>
      </c>
      <c r="E29" s="6" t="n">
        <f aca="false">INDEX('Rate Card Reference (source)'!$F$75:$F$104,MATCH(1,('Rate Card Reference (source)'!$A$75:$A$104=$B$3)*('Rate Card Reference (source)'!$B$75:$B$104=$A29),0))</f>
        <v>60.99</v>
      </c>
      <c r="F29" s="6" t="n">
        <f aca="false">INDEX('Rate Card Reference (source)'!$G$75:$G$104,MATCH(1,('Rate Card Reference (source)'!$A$75:$A$104=$B$3)*('Rate Card Reference (source)'!$B$75:$B$104=$A29),0))</f>
        <v>77.09</v>
      </c>
    </row>
    <row r="30" customFormat="false" ht="15" hidden="false" customHeight="false" outlineLevel="0" collapsed="false">
      <c r="A30" s="5" t="s">
        <v>29</v>
      </c>
      <c r="B30" s="6" t="n">
        <f aca="false">INDEX('Rate Card Reference (source)'!$C$75:$C$104,MATCH(1,('Rate Card Reference (source)'!$A$75:$A$104=$B$3)*('Rate Card Reference (source)'!$B$75:$B$104=$A30),0))</f>
        <v>61.28</v>
      </c>
      <c r="C30" s="6" t="n">
        <f aca="false">INDEX('Rate Card Reference (source)'!$D$75:$D$104,MATCH(1,('Rate Card Reference (source)'!$A$75:$A$104=$B$3)*('Rate Card Reference (source)'!$B$75:$B$104=$A30),0))</f>
        <v>61.28</v>
      </c>
      <c r="D30" s="6" t="n">
        <f aca="false">INDEX('Rate Card Reference (source)'!$E$75:$E$104,MATCH(1,('Rate Card Reference (source)'!$A$75:$A$104=$B$3)*('Rate Card Reference (source)'!$B$75:$B$104=$A30),0))</f>
        <v>74.58</v>
      </c>
      <c r="E30" s="6" t="n">
        <f aca="false">INDEX('Rate Card Reference (source)'!$F$75:$F$104,MATCH(1,('Rate Card Reference (source)'!$A$75:$A$104=$B$3)*('Rate Card Reference (source)'!$B$75:$B$104=$A30),0))</f>
        <v>74.58</v>
      </c>
      <c r="F30" s="6" t="n">
        <f aca="false">INDEX('Rate Card Reference (source)'!$G$75:$G$104,MATCH(1,('Rate Card Reference (source)'!$A$75:$A$104=$B$3)*('Rate Card Reference (source)'!$B$75:$B$104=$A30),0))</f>
        <v>94.81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8"/>
    <col collapsed="false" customWidth="true" hidden="false" outlineLevel="0" max="3" min="3" style="0" width="16"/>
    <col collapsed="false" customWidth="true" hidden="false" outlineLevel="0" max="6" min="4" style="0" width="13"/>
    <col collapsed="false" customWidth="true" hidden="false" outlineLevel="0" max="7" min="7" style="0" width="15"/>
    <col collapsed="false" customWidth="true" hidden="false" outlineLevel="0" max="8" min="8" style="0" width="14"/>
  </cols>
  <sheetData>
    <row r="1" customFormat="false" ht="16.15" hidden="false" customHeight="false" outlineLevel="0" collapsed="false">
      <c r="A1" s="8" t="s">
        <v>52</v>
      </c>
    </row>
    <row r="2" customFormat="false" ht="30" hidden="false" customHeight="true" outlineLevel="0" collapsed="false">
      <c r="A2" s="9" t="s">
        <v>53</v>
      </c>
    </row>
    <row r="4" customFormat="false" ht="15" hidden="false" customHeight="false" outlineLevel="0" collapsed="false">
      <c r="A4" s="4" t="s">
        <v>54</v>
      </c>
      <c r="B4" s="4" t="s">
        <v>55</v>
      </c>
      <c r="C4" s="4" t="s">
        <v>56</v>
      </c>
      <c r="D4" s="4" t="s">
        <v>25</v>
      </c>
      <c r="E4" s="4" t="s">
        <v>26</v>
      </c>
      <c r="F4" s="4" t="s">
        <v>27</v>
      </c>
      <c r="G4" s="4" t="s">
        <v>28</v>
      </c>
      <c r="H4" s="4" t="s">
        <v>29</v>
      </c>
    </row>
    <row r="5" customFormat="false" ht="15" hidden="false" customHeight="false" outlineLevel="0" collapsed="false">
      <c r="A5" s="10" t="s">
        <v>57</v>
      </c>
      <c r="B5" s="10" t="n">
        <v>5</v>
      </c>
      <c r="C5" s="10" t="s">
        <v>58</v>
      </c>
      <c r="D5" s="6" t="n">
        <f aca="false">'Delivery Details and calculatio'!$F$26</f>
        <v>32.73</v>
      </c>
      <c r="E5" s="6" t="n">
        <f aca="false">'Delivery Details and calculatio'!$F$27</f>
        <v>41.61</v>
      </c>
      <c r="F5" s="6" t="n">
        <f aca="false">'Delivery Details and calculatio'!$F$28</f>
        <v>59.38</v>
      </c>
      <c r="G5" s="6" t="n">
        <f aca="false">'Delivery Details and calculatio'!$F$29</f>
        <v>77.09</v>
      </c>
      <c r="H5" s="6" t="n">
        <f aca="false">'Delivery Details and calculatio'!$F$30</f>
        <v>94.81</v>
      </c>
    </row>
    <row r="6" customFormat="false" ht="15" hidden="false" customHeight="false" outlineLevel="0" collapsed="false">
      <c r="A6" s="10" t="s">
        <v>59</v>
      </c>
      <c r="B6" s="10" t="n">
        <v>4</v>
      </c>
      <c r="C6" s="10" t="s">
        <v>60</v>
      </c>
      <c r="D6" s="6" t="n">
        <f aca="false">'Delivery Details and calculatio'!$D$26</f>
        <v>26.98</v>
      </c>
      <c r="E6" s="6" t="n">
        <f aca="false">'Delivery Details and calculatio'!$D$27</f>
        <v>33.77</v>
      </c>
      <c r="F6" s="6" t="n">
        <f aca="false">'Delivery Details and calculatio'!$D$28</f>
        <v>47.41</v>
      </c>
      <c r="G6" s="6" t="n">
        <f aca="false">'Delivery Details and calculatio'!$D$29</f>
        <v>60.99</v>
      </c>
      <c r="H6" s="6" t="n">
        <f aca="false">'Delivery Details and calculatio'!$D$30</f>
        <v>74.58</v>
      </c>
    </row>
    <row r="7" customFormat="false" ht="15" hidden="false" customHeight="false" outlineLevel="0" collapsed="false">
      <c r="A7" s="10" t="s">
        <v>61</v>
      </c>
      <c r="B7" s="10" t="n">
        <v>5</v>
      </c>
      <c r="C7" s="10" t="s">
        <v>58</v>
      </c>
      <c r="D7" s="6" t="n">
        <f aca="false">'Delivery Details and calculatio'!$F$26</f>
        <v>32.73</v>
      </c>
      <c r="E7" s="6" t="n">
        <f aca="false">'Delivery Details and calculatio'!$F$27</f>
        <v>41.61</v>
      </c>
      <c r="F7" s="6" t="n">
        <f aca="false">'Delivery Details and calculatio'!$F$28</f>
        <v>59.38</v>
      </c>
      <c r="G7" s="6" t="n">
        <f aca="false">'Delivery Details and calculatio'!$F$29</f>
        <v>77.09</v>
      </c>
      <c r="H7" s="6" t="n">
        <f aca="false">'Delivery Details and calculatio'!$F$30</f>
        <v>94.81</v>
      </c>
    </row>
    <row r="8" customFormat="false" ht="15" hidden="false" customHeight="false" outlineLevel="0" collapsed="false">
      <c r="A8" s="10" t="s">
        <v>62</v>
      </c>
      <c r="B8" s="10" t="n">
        <v>2</v>
      </c>
      <c r="C8" s="10" t="s">
        <v>63</v>
      </c>
      <c r="D8" s="6" t="n">
        <f aca="false">'Delivery Details and calculatio'!$B$26</f>
        <v>19.57</v>
      </c>
      <c r="E8" s="6" t="n">
        <f aca="false">'Delivery Details and calculatio'!$B$27</f>
        <v>25.51</v>
      </c>
      <c r="F8" s="6" t="n">
        <f aca="false">'Delivery Details and calculatio'!$B$28</f>
        <v>37.43</v>
      </c>
      <c r="G8" s="6" t="n">
        <f aca="false">'Delivery Details and calculatio'!$B$29</f>
        <v>49.35</v>
      </c>
      <c r="H8" s="6" t="n">
        <f aca="false">'Delivery Details and calculatio'!$B$30</f>
        <v>61.28</v>
      </c>
    </row>
    <row r="9" customFormat="false" ht="15" hidden="false" customHeight="false" outlineLevel="0" collapsed="false">
      <c r="A9" s="10" t="s">
        <v>64</v>
      </c>
      <c r="B9" s="10" t="n">
        <v>4</v>
      </c>
      <c r="C9" s="10" t="s">
        <v>60</v>
      </c>
      <c r="D9" s="6" t="n">
        <f aca="false">'Delivery Details and calculatio'!$D$26</f>
        <v>26.98</v>
      </c>
      <c r="E9" s="6" t="n">
        <f aca="false">'Delivery Details and calculatio'!$D$27</f>
        <v>33.77</v>
      </c>
      <c r="F9" s="6" t="n">
        <f aca="false">'Delivery Details and calculatio'!$D$28</f>
        <v>47.41</v>
      </c>
      <c r="G9" s="6" t="n">
        <f aca="false">'Delivery Details and calculatio'!$D$29</f>
        <v>60.99</v>
      </c>
      <c r="H9" s="6" t="n">
        <f aca="false">'Delivery Details and calculatio'!$D$30</f>
        <v>74.58</v>
      </c>
    </row>
    <row r="10" customFormat="false" ht="15" hidden="false" customHeight="false" outlineLevel="0" collapsed="false">
      <c r="A10" s="10" t="s">
        <v>65</v>
      </c>
      <c r="B10" s="10" t="n">
        <v>5</v>
      </c>
      <c r="C10" s="10" t="s">
        <v>58</v>
      </c>
      <c r="D10" s="6" t="n">
        <f aca="false">'Delivery Details and calculatio'!$F$26</f>
        <v>32.73</v>
      </c>
      <c r="E10" s="6" t="n">
        <f aca="false">'Delivery Details and calculatio'!$F$27</f>
        <v>41.61</v>
      </c>
      <c r="F10" s="6" t="n">
        <f aca="false">'Delivery Details and calculatio'!$F$28</f>
        <v>59.38</v>
      </c>
      <c r="G10" s="6" t="n">
        <f aca="false">'Delivery Details and calculatio'!$F$29</f>
        <v>77.09</v>
      </c>
      <c r="H10" s="6" t="n">
        <f aca="false">'Delivery Details and calculatio'!$F$30</f>
        <v>94.81</v>
      </c>
    </row>
    <row r="11" customFormat="false" ht="15" hidden="false" customHeight="false" outlineLevel="0" collapsed="false">
      <c r="A11" s="10" t="s">
        <v>66</v>
      </c>
      <c r="B11" s="10" t="n">
        <v>5</v>
      </c>
      <c r="C11" s="10" t="s">
        <v>58</v>
      </c>
      <c r="D11" s="6" t="n">
        <f aca="false">'Delivery Details and calculatio'!$F$26</f>
        <v>32.73</v>
      </c>
      <c r="E11" s="6" t="n">
        <f aca="false">'Delivery Details and calculatio'!$F$27</f>
        <v>41.61</v>
      </c>
      <c r="F11" s="6" t="n">
        <f aca="false">'Delivery Details and calculatio'!$F$28</f>
        <v>59.38</v>
      </c>
      <c r="G11" s="6" t="n">
        <f aca="false">'Delivery Details and calculatio'!$F$29</f>
        <v>77.09</v>
      </c>
      <c r="H11" s="6" t="n">
        <f aca="false">'Delivery Details and calculatio'!$F$30</f>
        <v>94.81</v>
      </c>
    </row>
    <row r="12" customFormat="false" ht="15" hidden="false" customHeight="false" outlineLevel="0" collapsed="false">
      <c r="A12" s="10" t="s">
        <v>67</v>
      </c>
      <c r="B12" s="10" t="n">
        <v>5</v>
      </c>
      <c r="C12" s="10" t="s">
        <v>58</v>
      </c>
      <c r="D12" s="6" t="n">
        <f aca="false">'Delivery Details and calculatio'!$F$26</f>
        <v>32.73</v>
      </c>
      <c r="E12" s="6" t="n">
        <f aca="false">'Delivery Details and calculatio'!$F$27</f>
        <v>41.61</v>
      </c>
      <c r="F12" s="6" t="n">
        <f aca="false">'Delivery Details and calculatio'!$F$28</f>
        <v>59.38</v>
      </c>
      <c r="G12" s="6" t="n">
        <f aca="false">'Delivery Details and calculatio'!$F$29</f>
        <v>77.09</v>
      </c>
      <c r="H12" s="6" t="n">
        <f aca="false">'Delivery Details and calculatio'!$F$30</f>
        <v>94.81</v>
      </c>
    </row>
    <row r="13" customFormat="false" ht="15" hidden="false" customHeight="false" outlineLevel="0" collapsed="false">
      <c r="A13" s="10" t="s">
        <v>68</v>
      </c>
      <c r="B13" s="10" t="n">
        <v>5</v>
      </c>
      <c r="C13" s="10" t="s">
        <v>58</v>
      </c>
      <c r="D13" s="6" t="n">
        <f aca="false">'Delivery Details and calculatio'!$F$26</f>
        <v>32.73</v>
      </c>
      <c r="E13" s="6" t="n">
        <f aca="false">'Delivery Details and calculatio'!$F$27</f>
        <v>41.61</v>
      </c>
      <c r="F13" s="6" t="n">
        <f aca="false">'Delivery Details and calculatio'!$F$28</f>
        <v>59.38</v>
      </c>
      <c r="G13" s="6" t="n">
        <f aca="false">'Delivery Details and calculatio'!$F$29</f>
        <v>77.09</v>
      </c>
      <c r="H13" s="6" t="n">
        <f aca="false">'Delivery Details and calculatio'!$F$30</f>
        <v>94.81</v>
      </c>
    </row>
    <row r="14" customFormat="false" ht="15" hidden="false" customHeight="false" outlineLevel="0" collapsed="false">
      <c r="A14" s="10" t="s">
        <v>69</v>
      </c>
      <c r="B14" s="10" t="n">
        <v>5</v>
      </c>
      <c r="C14" s="10" t="s">
        <v>58</v>
      </c>
      <c r="D14" s="6" t="n">
        <f aca="false">'Delivery Details and calculatio'!$F$26</f>
        <v>32.73</v>
      </c>
      <c r="E14" s="6" t="n">
        <f aca="false">'Delivery Details and calculatio'!$F$27</f>
        <v>41.61</v>
      </c>
      <c r="F14" s="6" t="n">
        <f aca="false">'Delivery Details and calculatio'!$F$28</f>
        <v>59.38</v>
      </c>
      <c r="G14" s="6" t="n">
        <f aca="false">'Delivery Details and calculatio'!$F$29</f>
        <v>77.09</v>
      </c>
      <c r="H14" s="6" t="n">
        <f aca="false">'Delivery Details and calculatio'!$F$30</f>
        <v>94.81</v>
      </c>
    </row>
    <row r="15" customFormat="false" ht="15" hidden="false" customHeight="false" outlineLevel="0" collapsed="false">
      <c r="A15" s="10" t="s">
        <v>70</v>
      </c>
      <c r="B15" s="10" t="n">
        <v>5</v>
      </c>
      <c r="C15" s="10" t="s">
        <v>58</v>
      </c>
      <c r="D15" s="6" t="n">
        <f aca="false">'Delivery Details and calculatio'!$F$26</f>
        <v>32.73</v>
      </c>
      <c r="E15" s="6" t="n">
        <f aca="false">'Delivery Details and calculatio'!$F$27</f>
        <v>41.61</v>
      </c>
      <c r="F15" s="6" t="n">
        <f aca="false">'Delivery Details and calculatio'!$F$28</f>
        <v>59.38</v>
      </c>
      <c r="G15" s="6" t="n">
        <f aca="false">'Delivery Details and calculatio'!$F$29</f>
        <v>77.09</v>
      </c>
      <c r="H15" s="6" t="n">
        <f aca="false">'Delivery Details and calculatio'!$F$30</f>
        <v>94.81</v>
      </c>
    </row>
    <row r="16" customFormat="false" ht="15" hidden="false" customHeight="false" outlineLevel="0" collapsed="false">
      <c r="A16" s="10" t="s">
        <v>71</v>
      </c>
      <c r="B16" s="10" t="n">
        <v>4</v>
      </c>
      <c r="C16" s="10" t="s">
        <v>60</v>
      </c>
      <c r="D16" s="6" t="n">
        <f aca="false">'Delivery Details and calculatio'!$D$26</f>
        <v>26.98</v>
      </c>
      <c r="E16" s="6" t="n">
        <f aca="false">'Delivery Details and calculatio'!$D$27</f>
        <v>33.77</v>
      </c>
      <c r="F16" s="6" t="n">
        <f aca="false">'Delivery Details and calculatio'!$D$28</f>
        <v>47.41</v>
      </c>
      <c r="G16" s="6" t="n">
        <f aca="false">'Delivery Details and calculatio'!$D$29</f>
        <v>60.99</v>
      </c>
      <c r="H16" s="6" t="n">
        <f aca="false">'Delivery Details and calculatio'!$D$30</f>
        <v>74.58</v>
      </c>
    </row>
    <row r="17" customFormat="false" ht="15" hidden="false" customHeight="false" outlineLevel="0" collapsed="false">
      <c r="A17" s="10" t="s">
        <v>72</v>
      </c>
      <c r="B17" s="10" t="n">
        <v>5</v>
      </c>
      <c r="C17" s="10" t="s">
        <v>58</v>
      </c>
      <c r="D17" s="6" t="n">
        <f aca="false">'Delivery Details and calculatio'!$F$26</f>
        <v>32.73</v>
      </c>
      <c r="E17" s="6" t="n">
        <f aca="false">'Delivery Details and calculatio'!$F$27</f>
        <v>41.61</v>
      </c>
      <c r="F17" s="6" t="n">
        <f aca="false">'Delivery Details and calculatio'!$F$28</f>
        <v>59.38</v>
      </c>
      <c r="G17" s="6" t="n">
        <f aca="false">'Delivery Details and calculatio'!$F$29</f>
        <v>77.09</v>
      </c>
      <c r="H17" s="6" t="n">
        <f aca="false">'Delivery Details and calculatio'!$F$30</f>
        <v>94.81</v>
      </c>
    </row>
    <row r="18" customFormat="false" ht="15" hidden="false" customHeight="false" outlineLevel="0" collapsed="false">
      <c r="A18" s="10" t="s">
        <v>73</v>
      </c>
      <c r="B18" s="10" t="n">
        <v>5</v>
      </c>
      <c r="C18" s="10" t="s">
        <v>58</v>
      </c>
      <c r="D18" s="6" t="n">
        <f aca="false">'Delivery Details and calculatio'!$F$26</f>
        <v>32.73</v>
      </c>
      <c r="E18" s="6" t="n">
        <f aca="false">'Delivery Details and calculatio'!$F$27</f>
        <v>41.61</v>
      </c>
      <c r="F18" s="6" t="n">
        <f aca="false">'Delivery Details and calculatio'!$F$28</f>
        <v>59.38</v>
      </c>
      <c r="G18" s="6" t="n">
        <f aca="false">'Delivery Details and calculatio'!$F$29</f>
        <v>77.09</v>
      </c>
      <c r="H18" s="6" t="n">
        <f aca="false">'Delivery Details and calculatio'!$F$30</f>
        <v>94.81</v>
      </c>
    </row>
    <row r="19" customFormat="false" ht="15" hidden="false" customHeight="false" outlineLevel="0" collapsed="false">
      <c r="A19" s="10" t="s">
        <v>74</v>
      </c>
      <c r="B19" s="10" t="n">
        <v>5</v>
      </c>
      <c r="C19" s="10" t="s">
        <v>58</v>
      </c>
      <c r="D19" s="6" t="n">
        <f aca="false">'Delivery Details and calculatio'!$F$26</f>
        <v>32.73</v>
      </c>
      <c r="E19" s="6" t="n">
        <f aca="false">'Delivery Details and calculatio'!$F$27</f>
        <v>41.61</v>
      </c>
      <c r="F19" s="6" t="n">
        <f aca="false">'Delivery Details and calculatio'!$F$28</f>
        <v>59.38</v>
      </c>
      <c r="G19" s="6" t="n">
        <f aca="false">'Delivery Details and calculatio'!$F$29</f>
        <v>77.09</v>
      </c>
      <c r="H19" s="6" t="n">
        <f aca="false">'Delivery Details and calculatio'!$F$30</f>
        <v>94.81</v>
      </c>
    </row>
    <row r="20" customFormat="false" ht="15" hidden="false" customHeight="false" outlineLevel="0" collapsed="false">
      <c r="A20" s="10" t="s">
        <v>75</v>
      </c>
      <c r="B20" s="10" t="n">
        <v>2</v>
      </c>
      <c r="C20" s="10" t="s">
        <v>63</v>
      </c>
      <c r="D20" s="6" t="n">
        <f aca="false">'Delivery Details and calculatio'!$B$26</f>
        <v>19.57</v>
      </c>
      <c r="E20" s="6" t="n">
        <f aca="false">'Delivery Details and calculatio'!$B$27</f>
        <v>25.51</v>
      </c>
      <c r="F20" s="6" t="n">
        <f aca="false">'Delivery Details and calculatio'!$B$28</f>
        <v>37.43</v>
      </c>
      <c r="G20" s="6" t="n">
        <f aca="false">'Delivery Details and calculatio'!$B$29</f>
        <v>49.35</v>
      </c>
      <c r="H20" s="6" t="n">
        <f aca="false">'Delivery Details and calculatio'!$B$30</f>
        <v>61.28</v>
      </c>
    </row>
    <row r="21" customFormat="false" ht="15" hidden="false" customHeight="false" outlineLevel="0" collapsed="false">
      <c r="A21" s="10" t="s">
        <v>76</v>
      </c>
      <c r="B21" s="10" t="n">
        <v>5</v>
      </c>
      <c r="C21" s="10" t="s">
        <v>58</v>
      </c>
      <c r="D21" s="6" t="n">
        <f aca="false">'Delivery Details and calculatio'!$F$26</f>
        <v>32.73</v>
      </c>
      <c r="E21" s="6" t="n">
        <f aca="false">'Delivery Details and calculatio'!$F$27</f>
        <v>41.61</v>
      </c>
      <c r="F21" s="6" t="n">
        <f aca="false">'Delivery Details and calculatio'!$F$28</f>
        <v>59.38</v>
      </c>
      <c r="G21" s="6" t="n">
        <f aca="false">'Delivery Details and calculatio'!$F$29</f>
        <v>77.09</v>
      </c>
      <c r="H21" s="6" t="n">
        <f aca="false">'Delivery Details and calculatio'!$F$30</f>
        <v>94.81</v>
      </c>
    </row>
    <row r="22" customFormat="false" ht="15" hidden="false" customHeight="false" outlineLevel="0" collapsed="false">
      <c r="A22" s="10" t="s">
        <v>77</v>
      </c>
      <c r="B22" s="10" t="n">
        <v>5</v>
      </c>
      <c r="C22" s="10" t="s">
        <v>58</v>
      </c>
      <c r="D22" s="6" t="n">
        <f aca="false">'Delivery Details and calculatio'!$F$26</f>
        <v>32.73</v>
      </c>
      <c r="E22" s="6" t="n">
        <f aca="false">'Delivery Details and calculatio'!$F$27</f>
        <v>41.61</v>
      </c>
      <c r="F22" s="6" t="n">
        <f aca="false">'Delivery Details and calculatio'!$F$28</f>
        <v>59.38</v>
      </c>
      <c r="G22" s="6" t="n">
        <f aca="false">'Delivery Details and calculatio'!$F$29</f>
        <v>77.09</v>
      </c>
      <c r="H22" s="6" t="n">
        <f aca="false">'Delivery Details and calculatio'!$F$30</f>
        <v>94.81</v>
      </c>
    </row>
    <row r="23" customFormat="false" ht="15" hidden="false" customHeight="false" outlineLevel="0" collapsed="false">
      <c r="A23" s="10" t="s">
        <v>78</v>
      </c>
      <c r="B23" s="10" t="n">
        <v>4</v>
      </c>
      <c r="C23" s="10" t="s">
        <v>60</v>
      </c>
      <c r="D23" s="6" t="n">
        <f aca="false">'Delivery Details and calculatio'!$D$26</f>
        <v>26.98</v>
      </c>
      <c r="E23" s="6" t="n">
        <f aca="false">'Delivery Details and calculatio'!$D$27</f>
        <v>33.77</v>
      </c>
      <c r="F23" s="6" t="n">
        <f aca="false">'Delivery Details and calculatio'!$D$28</f>
        <v>47.41</v>
      </c>
      <c r="G23" s="6" t="n">
        <f aca="false">'Delivery Details and calculatio'!$D$29</f>
        <v>60.99</v>
      </c>
      <c r="H23" s="6" t="n">
        <f aca="false">'Delivery Details and calculatio'!$D$30</f>
        <v>74.58</v>
      </c>
    </row>
    <row r="24" customFormat="false" ht="15" hidden="false" customHeight="false" outlineLevel="0" collapsed="false">
      <c r="A24" s="10" t="s">
        <v>79</v>
      </c>
      <c r="B24" s="10" t="n">
        <v>5</v>
      </c>
      <c r="C24" s="10" t="s">
        <v>58</v>
      </c>
      <c r="D24" s="6" t="n">
        <f aca="false">'Delivery Details and calculatio'!$F$26</f>
        <v>32.73</v>
      </c>
      <c r="E24" s="6" t="n">
        <f aca="false">'Delivery Details and calculatio'!$F$27</f>
        <v>41.61</v>
      </c>
      <c r="F24" s="6" t="n">
        <f aca="false">'Delivery Details and calculatio'!$F$28</f>
        <v>59.38</v>
      </c>
      <c r="G24" s="6" t="n">
        <f aca="false">'Delivery Details and calculatio'!$F$29</f>
        <v>77.09</v>
      </c>
      <c r="H24" s="6" t="n">
        <f aca="false">'Delivery Details and calculatio'!$F$30</f>
        <v>94.81</v>
      </c>
    </row>
    <row r="25" customFormat="false" ht="15" hidden="false" customHeight="false" outlineLevel="0" collapsed="false">
      <c r="A25" s="10" t="s">
        <v>80</v>
      </c>
      <c r="B25" s="10" t="n">
        <v>5</v>
      </c>
      <c r="C25" s="10" t="s">
        <v>58</v>
      </c>
      <c r="D25" s="6" t="n">
        <f aca="false">'Delivery Details and calculatio'!$F$26</f>
        <v>32.73</v>
      </c>
      <c r="E25" s="6" t="n">
        <f aca="false">'Delivery Details and calculatio'!$F$27</f>
        <v>41.61</v>
      </c>
      <c r="F25" s="6" t="n">
        <f aca="false">'Delivery Details and calculatio'!$F$28</f>
        <v>59.38</v>
      </c>
      <c r="G25" s="6" t="n">
        <f aca="false">'Delivery Details and calculatio'!$F$29</f>
        <v>77.09</v>
      </c>
      <c r="H25" s="6" t="n">
        <f aca="false">'Delivery Details and calculatio'!$F$30</f>
        <v>94.81</v>
      </c>
    </row>
    <row r="26" customFormat="false" ht="15" hidden="false" customHeight="false" outlineLevel="0" collapsed="false">
      <c r="A26" s="10" t="s">
        <v>81</v>
      </c>
      <c r="B26" s="10" t="n">
        <v>5</v>
      </c>
      <c r="C26" s="10" t="s">
        <v>58</v>
      </c>
      <c r="D26" s="6" t="n">
        <f aca="false">'Delivery Details and calculatio'!$F$26</f>
        <v>32.73</v>
      </c>
      <c r="E26" s="6" t="n">
        <f aca="false">'Delivery Details and calculatio'!$F$27</f>
        <v>41.61</v>
      </c>
      <c r="F26" s="6" t="n">
        <f aca="false">'Delivery Details and calculatio'!$F$28</f>
        <v>59.38</v>
      </c>
      <c r="G26" s="6" t="n">
        <f aca="false">'Delivery Details and calculatio'!$F$29</f>
        <v>77.09</v>
      </c>
      <c r="H26" s="6" t="n">
        <f aca="false">'Delivery Details and calculatio'!$F$30</f>
        <v>94.81</v>
      </c>
    </row>
    <row r="27" customFormat="false" ht="15" hidden="false" customHeight="false" outlineLevel="0" collapsed="false">
      <c r="A27" s="10" t="s">
        <v>82</v>
      </c>
      <c r="B27" s="10" t="n">
        <v>5</v>
      </c>
      <c r="C27" s="10" t="s">
        <v>58</v>
      </c>
      <c r="D27" s="6" t="n">
        <f aca="false">'Delivery Details and calculatio'!$F$26</f>
        <v>32.73</v>
      </c>
      <c r="E27" s="6" t="n">
        <f aca="false">'Delivery Details and calculatio'!$F$27</f>
        <v>41.61</v>
      </c>
      <c r="F27" s="6" t="n">
        <f aca="false">'Delivery Details and calculatio'!$F$28</f>
        <v>59.38</v>
      </c>
      <c r="G27" s="6" t="n">
        <f aca="false">'Delivery Details and calculatio'!$F$29</f>
        <v>77.09</v>
      </c>
      <c r="H27" s="6" t="n">
        <f aca="false">'Delivery Details and calculatio'!$F$30</f>
        <v>94.81</v>
      </c>
    </row>
    <row r="28" customFormat="false" ht="15" hidden="false" customHeight="false" outlineLevel="0" collapsed="false">
      <c r="A28" s="10" t="s">
        <v>83</v>
      </c>
      <c r="B28" s="10" t="n">
        <v>5</v>
      </c>
      <c r="C28" s="10" t="s">
        <v>58</v>
      </c>
      <c r="D28" s="6" t="n">
        <f aca="false">'Delivery Details and calculatio'!$F$26</f>
        <v>32.73</v>
      </c>
      <c r="E28" s="6" t="n">
        <f aca="false">'Delivery Details and calculatio'!$F$27</f>
        <v>41.61</v>
      </c>
      <c r="F28" s="6" t="n">
        <f aca="false">'Delivery Details and calculatio'!$F$28</f>
        <v>59.38</v>
      </c>
      <c r="G28" s="6" t="n">
        <f aca="false">'Delivery Details and calculatio'!$F$29</f>
        <v>77.09</v>
      </c>
      <c r="H28" s="6" t="n">
        <f aca="false">'Delivery Details and calculatio'!$F$30</f>
        <v>94.81</v>
      </c>
    </row>
    <row r="29" customFormat="false" ht="15" hidden="false" customHeight="false" outlineLevel="0" collapsed="false">
      <c r="A29" s="10" t="s">
        <v>84</v>
      </c>
      <c r="B29" s="10" t="n">
        <v>5</v>
      </c>
      <c r="C29" s="10" t="s">
        <v>58</v>
      </c>
      <c r="D29" s="6" t="n">
        <f aca="false">'Delivery Details and calculatio'!$F$26</f>
        <v>32.73</v>
      </c>
      <c r="E29" s="6" t="n">
        <f aca="false">'Delivery Details and calculatio'!$F$27</f>
        <v>41.61</v>
      </c>
      <c r="F29" s="6" t="n">
        <f aca="false">'Delivery Details and calculatio'!$F$28</f>
        <v>59.38</v>
      </c>
      <c r="G29" s="6" t="n">
        <f aca="false">'Delivery Details and calculatio'!$F$29</f>
        <v>77.09</v>
      </c>
      <c r="H29" s="6" t="n">
        <f aca="false">'Delivery Details and calculatio'!$F$30</f>
        <v>94.81</v>
      </c>
    </row>
    <row r="30" customFormat="false" ht="15" hidden="false" customHeight="false" outlineLevel="0" collapsed="false">
      <c r="A30" s="10" t="s">
        <v>85</v>
      </c>
      <c r="B30" s="10" t="n">
        <v>4</v>
      </c>
      <c r="C30" s="10" t="s">
        <v>60</v>
      </c>
      <c r="D30" s="6" t="n">
        <f aca="false">'Delivery Details and calculatio'!$D$26</f>
        <v>26.98</v>
      </c>
      <c r="E30" s="6" t="n">
        <f aca="false">'Delivery Details and calculatio'!$D$27</f>
        <v>33.77</v>
      </c>
      <c r="F30" s="6" t="n">
        <f aca="false">'Delivery Details and calculatio'!$D$28</f>
        <v>47.41</v>
      </c>
      <c r="G30" s="6" t="n">
        <f aca="false">'Delivery Details and calculatio'!$D$29</f>
        <v>60.99</v>
      </c>
      <c r="H30" s="6" t="n">
        <f aca="false">'Delivery Details and calculatio'!$D$30</f>
        <v>74.58</v>
      </c>
    </row>
    <row r="31" customFormat="false" ht="15" hidden="false" customHeight="false" outlineLevel="0" collapsed="false">
      <c r="A31" s="10" t="s">
        <v>86</v>
      </c>
      <c r="B31" s="10" t="n">
        <v>5</v>
      </c>
      <c r="C31" s="10" t="s">
        <v>58</v>
      </c>
      <c r="D31" s="6" t="n">
        <f aca="false">'Delivery Details and calculatio'!$F$26</f>
        <v>32.73</v>
      </c>
      <c r="E31" s="6" t="n">
        <f aca="false">'Delivery Details and calculatio'!$F$27</f>
        <v>41.61</v>
      </c>
      <c r="F31" s="6" t="n">
        <f aca="false">'Delivery Details and calculatio'!$F$28</f>
        <v>59.38</v>
      </c>
      <c r="G31" s="6" t="n">
        <f aca="false">'Delivery Details and calculatio'!$F$29</f>
        <v>77.09</v>
      </c>
      <c r="H31" s="6" t="n">
        <f aca="false">'Delivery Details and calculatio'!$F$30</f>
        <v>94.81</v>
      </c>
    </row>
    <row r="32" customFormat="false" ht="15" hidden="false" customHeight="false" outlineLevel="0" collapsed="false">
      <c r="A32" s="10" t="s">
        <v>87</v>
      </c>
      <c r="B32" s="10" t="n">
        <v>4</v>
      </c>
      <c r="C32" s="10" t="s">
        <v>60</v>
      </c>
      <c r="D32" s="6" t="n">
        <f aca="false">'Delivery Details and calculatio'!$D$26</f>
        <v>26.98</v>
      </c>
      <c r="E32" s="6" t="n">
        <f aca="false">'Delivery Details and calculatio'!$D$27</f>
        <v>33.77</v>
      </c>
      <c r="F32" s="6" t="n">
        <f aca="false">'Delivery Details and calculatio'!$D$28</f>
        <v>47.41</v>
      </c>
      <c r="G32" s="6" t="n">
        <f aca="false">'Delivery Details and calculatio'!$D$29</f>
        <v>60.99</v>
      </c>
      <c r="H32" s="6" t="n">
        <f aca="false">'Delivery Details and calculatio'!$D$30</f>
        <v>74.58</v>
      </c>
    </row>
    <row r="33" customFormat="false" ht="15" hidden="false" customHeight="false" outlineLevel="0" collapsed="false">
      <c r="A33" s="10" t="s">
        <v>88</v>
      </c>
      <c r="B33" s="10" t="n">
        <v>5</v>
      </c>
      <c r="C33" s="10" t="s">
        <v>58</v>
      </c>
      <c r="D33" s="6" t="n">
        <f aca="false">'Delivery Details and calculatio'!$F$26</f>
        <v>32.73</v>
      </c>
      <c r="E33" s="6" t="n">
        <f aca="false">'Delivery Details and calculatio'!$F$27</f>
        <v>41.61</v>
      </c>
      <c r="F33" s="6" t="n">
        <f aca="false">'Delivery Details and calculatio'!$F$28</f>
        <v>59.38</v>
      </c>
      <c r="G33" s="6" t="n">
        <f aca="false">'Delivery Details and calculatio'!$F$29</f>
        <v>77.09</v>
      </c>
      <c r="H33" s="6" t="n">
        <f aca="false">'Delivery Details and calculatio'!$F$30</f>
        <v>94.81</v>
      </c>
    </row>
    <row r="34" customFormat="false" ht="15" hidden="false" customHeight="false" outlineLevel="0" collapsed="false">
      <c r="A34" s="10" t="s">
        <v>89</v>
      </c>
      <c r="B34" s="10" t="n">
        <v>2</v>
      </c>
      <c r="C34" s="10" t="s">
        <v>63</v>
      </c>
      <c r="D34" s="6" t="n">
        <f aca="false">'Delivery Details and calculatio'!$B$26</f>
        <v>19.57</v>
      </c>
      <c r="E34" s="6" t="n">
        <f aca="false">'Delivery Details and calculatio'!$B$27</f>
        <v>25.51</v>
      </c>
      <c r="F34" s="6" t="n">
        <f aca="false">'Delivery Details and calculatio'!$B$28</f>
        <v>37.43</v>
      </c>
      <c r="G34" s="6" t="n">
        <f aca="false">'Delivery Details and calculatio'!$B$29</f>
        <v>49.35</v>
      </c>
      <c r="H34" s="6" t="n">
        <f aca="false">'Delivery Details and calculatio'!$B$30</f>
        <v>61.28</v>
      </c>
    </row>
    <row r="35" customFormat="false" ht="15" hidden="false" customHeight="false" outlineLevel="0" collapsed="false">
      <c r="A35" s="10" t="s">
        <v>90</v>
      </c>
      <c r="B35" s="10" t="n">
        <v>4</v>
      </c>
      <c r="C35" s="10" t="s">
        <v>60</v>
      </c>
      <c r="D35" s="6" t="n">
        <f aca="false">'Delivery Details and calculatio'!$D$26</f>
        <v>26.98</v>
      </c>
      <c r="E35" s="6" t="n">
        <f aca="false">'Delivery Details and calculatio'!$D$27</f>
        <v>33.77</v>
      </c>
      <c r="F35" s="6" t="n">
        <f aca="false">'Delivery Details and calculatio'!$D$28</f>
        <v>47.41</v>
      </c>
      <c r="G35" s="6" t="n">
        <f aca="false">'Delivery Details and calculatio'!$D$29</f>
        <v>60.99</v>
      </c>
      <c r="H35" s="6" t="n">
        <f aca="false">'Delivery Details and calculatio'!$D$30</f>
        <v>74.58</v>
      </c>
    </row>
    <row r="36" customFormat="false" ht="15" hidden="false" customHeight="false" outlineLevel="0" collapsed="false">
      <c r="A36" s="10" t="s">
        <v>91</v>
      </c>
      <c r="B36" s="10" t="n">
        <v>5</v>
      </c>
      <c r="C36" s="10" t="s">
        <v>58</v>
      </c>
      <c r="D36" s="6" t="n">
        <f aca="false">'Delivery Details and calculatio'!$F$26</f>
        <v>32.73</v>
      </c>
      <c r="E36" s="6" t="n">
        <f aca="false">'Delivery Details and calculatio'!$F$27</f>
        <v>41.61</v>
      </c>
      <c r="F36" s="6" t="n">
        <f aca="false">'Delivery Details and calculatio'!$F$28</f>
        <v>59.38</v>
      </c>
      <c r="G36" s="6" t="n">
        <f aca="false">'Delivery Details and calculatio'!$F$29</f>
        <v>77.09</v>
      </c>
      <c r="H36" s="6" t="n">
        <f aca="false">'Delivery Details and calculatio'!$F$30</f>
        <v>94.81</v>
      </c>
    </row>
    <row r="37" customFormat="false" ht="15" hidden="false" customHeight="false" outlineLevel="0" collapsed="false">
      <c r="A37" s="10" t="s">
        <v>92</v>
      </c>
      <c r="B37" s="10" t="n">
        <v>5</v>
      </c>
      <c r="C37" s="10" t="s">
        <v>58</v>
      </c>
      <c r="D37" s="6" t="n">
        <f aca="false">'Delivery Details and calculatio'!$F$26</f>
        <v>32.73</v>
      </c>
      <c r="E37" s="6" t="n">
        <f aca="false">'Delivery Details and calculatio'!$F$27</f>
        <v>41.61</v>
      </c>
      <c r="F37" s="6" t="n">
        <f aca="false">'Delivery Details and calculatio'!$F$28</f>
        <v>59.38</v>
      </c>
      <c r="G37" s="6" t="n">
        <f aca="false">'Delivery Details and calculatio'!$F$29</f>
        <v>77.09</v>
      </c>
      <c r="H37" s="6" t="n">
        <f aca="false">'Delivery Details and calculatio'!$F$30</f>
        <v>94.81</v>
      </c>
    </row>
    <row r="38" customFormat="false" ht="15" hidden="false" customHeight="false" outlineLevel="0" collapsed="false">
      <c r="A38" s="10" t="s">
        <v>93</v>
      </c>
      <c r="B38" s="10" t="n">
        <v>5</v>
      </c>
      <c r="C38" s="10" t="s">
        <v>58</v>
      </c>
      <c r="D38" s="6" t="n">
        <f aca="false">'Delivery Details and calculatio'!$F$26</f>
        <v>32.73</v>
      </c>
      <c r="E38" s="6" t="n">
        <f aca="false">'Delivery Details and calculatio'!$F$27</f>
        <v>41.61</v>
      </c>
      <c r="F38" s="6" t="n">
        <f aca="false">'Delivery Details and calculatio'!$F$28</f>
        <v>59.38</v>
      </c>
      <c r="G38" s="6" t="n">
        <f aca="false">'Delivery Details and calculatio'!$F$29</f>
        <v>77.09</v>
      </c>
      <c r="H38" s="6" t="n">
        <f aca="false">'Delivery Details and calculatio'!$F$30</f>
        <v>94.81</v>
      </c>
    </row>
    <row r="39" customFormat="false" ht="15" hidden="false" customHeight="false" outlineLevel="0" collapsed="false">
      <c r="A39" s="10" t="s">
        <v>94</v>
      </c>
      <c r="B39" s="10" t="n">
        <v>2</v>
      </c>
      <c r="C39" s="10" t="s">
        <v>63</v>
      </c>
      <c r="D39" s="6" t="n">
        <f aca="false">'Delivery Details and calculatio'!$B$26</f>
        <v>19.57</v>
      </c>
      <c r="E39" s="6" t="n">
        <f aca="false">'Delivery Details and calculatio'!$B$27</f>
        <v>25.51</v>
      </c>
      <c r="F39" s="6" t="n">
        <f aca="false">'Delivery Details and calculatio'!$B$28</f>
        <v>37.43</v>
      </c>
      <c r="G39" s="6" t="n">
        <f aca="false">'Delivery Details and calculatio'!$B$29</f>
        <v>49.35</v>
      </c>
      <c r="H39" s="6" t="n">
        <f aca="false">'Delivery Details and calculatio'!$B$30</f>
        <v>61.28</v>
      </c>
    </row>
    <row r="40" customFormat="false" ht="15" hidden="false" customHeight="false" outlineLevel="0" collapsed="false">
      <c r="A40" s="10" t="s">
        <v>95</v>
      </c>
      <c r="B40" s="10" t="n">
        <v>5</v>
      </c>
      <c r="C40" s="10" t="s">
        <v>58</v>
      </c>
      <c r="D40" s="6" t="n">
        <f aca="false">'Delivery Details and calculatio'!$F$26</f>
        <v>32.73</v>
      </c>
      <c r="E40" s="6" t="n">
        <f aca="false">'Delivery Details and calculatio'!$F$27</f>
        <v>41.61</v>
      </c>
      <c r="F40" s="6" t="n">
        <f aca="false">'Delivery Details and calculatio'!$F$28</f>
        <v>59.38</v>
      </c>
      <c r="G40" s="6" t="n">
        <f aca="false">'Delivery Details and calculatio'!$F$29</f>
        <v>77.09</v>
      </c>
      <c r="H40" s="6" t="n">
        <f aca="false">'Delivery Details and calculatio'!$F$30</f>
        <v>94.81</v>
      </c>
    </row>
    <row r="41" customFormat="false" ht="15" hidden="false" customHeight="false" outlineLevel="0" collapsed="false">
      <c r="A41" s="10" t="s">
        <v>96</v>
      </c>
      <c r="B41" s="10" t="n">
        <v>3</v>
      </c>
      <c r="C41" s="10" t="s">
        <v>97</v>
      </c>
      <c r="D41" s="6" t="n">
        <f aca="false">'Delivery Details and calculatio'!$D$17</f>
        <v>21.9</v>
      </c>
      <c r="E41" s="6" t="n">
        <f aca="false">'Delivery Details and calculatio'!$D$18</f>
        <v>28.45</v>
      </c>
      <c r="F41" s="6" t="n">
        <f aca="false">'Delivery Details and calculatio'!$D$19</f>
        <v>41.42</v>
      </c>
      <c r="G41" s="6" t="n">
        <f aca="false">'Delivery Details and calculatio'!$D$20</f>
        <v>54.53</v>
      </c>
      <c r="H41" s="6" t="n">
        <f aca="false">'Delivery Details and calculatio'!$D$21</f>
        <v>67.55</v>
      </c>
    </row>
    <row r="42" customFormat="false" ht="15" hidden="false" customHeight="false" outlineLevel="0" collapsed="false">
      <c r="A42" s="10" t="s">
        <v>98</v>
      </c>
      <c r="B42" s="10" t="n">
        <v>5</v>
      </c>
      <c r="C42" s="10" t="s">
        <v>58</v>
      </c>
      <c r="D42" s="6" t="n">
        <f aca="false">'Delivery Details and calculatio'!$F$26</f>
        <v>32.73</v>
      </c>
      <c r="E42" s="6" t="n">
        <f aca="false">'Delivery Details and calculatio'!$F$27</f>
        <v>41.61</v>
      </c>
      <c r="F42" s="6" t="n">
        <f aca="false">'Delivery Details and calculatio'!$F$28</f>
        <v>59.38</v>
      </c>
      <c r="G42" s="6" t="n">
        <f aca="false">'Delivery Details and calculatio'!$F$29</f>
        <v>77.09</v>
      </c>
      <c r="H42" s="6" t="n">
        <f aca="false">'Delivery Details and calculatio'!$F$30</f>
        <v>94.81</v>
      </c>
    </row>
    <row r="43" customFormat="false" ht="15" hidden="false" customHeight="false" outlineLevel="0" collapsed="false">
      <c r="A43" s="10" t="s">
        <v>99</v>
      </c>
      <c r="B43" s="10" t="n">
        <v>5</v>
      </c>
      <c r="C43" s="10" t="s">
        <v>58</v>
      </c>
      <c r="D43" s="6" t="n">
        <f aca="false">'Delivery Details and calculatio'!$F$26</f>
        <v>32.73</v>
      </c>
      <c r="E43" s="6" t="n">
        <f aca="false">'Delivery Details and calculatio'!$F$27</f>
        <v>41.61</v>
      </c>
      <c r="F43" s="6" t="n">
        <f aca="false">'Delivery Details and calculatio'!$F$28</f>
        <v>59.38</v>
      </c>
      <c r="G43" s="6" t="n">
        <f aca="false">'Delivery Details and calculatio'!$F$29</f>
        <v>77.09</v>
      </c>
      <c r="H43" s="6" t="n">
        <f aca="false">'Delivery Details and calculatio'!$F$30</f>
        <v>94.81</v>
      </c>
    </row>
    <row r="44" customFormat="false" ht="15" hidden="false" customHeight="false" outlineLevel="0" collapsed="false">
      <c r="A44" s="10" t="s">
        <v>100</v>
      </c>
      <c r="B44" s="10" t="n">
        <v>5</v>
      </c>
      <c r="C44" s="10" t="s">
        <v>58</v>
      </c>
      <c r="D44" s="6" t="n">
        <f aca="false">'Delivery Details and calculatio'!$F$26</f>
        <v>32.73</v>
      </c>
      <c r="E44" s="6" t="n">
        <f aca="false">'Delivery Details and calculatio'!$F$27</f>
        <v>41.61</v>
      </c>
      <c r="F44" s="6" t="n">
        <f aca="false">'Delivery Details and calculatio'!$F$28</f>
        <v>59.38</v>
      </c>
      <c r="G44" s="6" t="n">
        <f aca="false">'Delivery Details and calculatio'!$F$29</f>
        <v>77.09</v>
      </c>
      <c r="H44" s="6" t="n">
        <f aca="false">'Delivery Details and calculatio'!$F$30</f>
        <v>94.81</v>
      </c>
    </row>
    <row r="45" customFormat="false" ht="15" hidden="false" customHeight="false" outlineLevel="0" collapsed="false">
      <c r="A45" s="10" t="s">
        <v>101</v>
      </c>
      <c r="B45" s="10" t="n">
        <v>5</v>
      </c>
      <c r="C45" s="10" t="s">
        <v>58</v>
      </c>
      <c r="D45" s="6" t="n">
        <f aca="false">'Delivery Details and calculatio'!$F$26</f>
        <v>32.73</v>
      </c>
      <c r="E45" s="6" t="n">
        <f aca="false">'Delivery Details and calculatio'!$F$27</f>
        <v>41.61</v>
      </c>
      <c r="F45" s="6" t="n">
        <f aca="false">'Delivery Details and calculatio'!$F$28</f>
        <v>59.38</v>
      </c>
      <c r="G45" s="6" t="n">
        <f aca="false">'Delivery Details and calculatio'!$F$29</f>
        <v>77.09</v>
      </c>
      <c r="H45" s="6" t="n">
        <f aca="false">'Delivery Details and calculatio'!$F$30</f>
        <v>94.81</v>
      </c>
    </row>
    <row r="46" customFormat="false" ht="15" hidden="false" customHeight="false" outlineLevel="0" collapsed="false">
      <c r="A46" s="10" t="s">
        <v>102</v>
      </c>
      <c r="B46" s="10" t="n">
        <v>2</v>
      </c>
      <c r="C46" s="10" t="s">
        <v>102</v>
      </c>
      <c r="D46" s="6" t="n">
        <f aca="false">'Delivery Details and calculatio'!$C$17</f>
        <v>19.57</v>
      </c>
      <c r="E46" s="6" t="n">
        <f aca="false">'Delivery Details and calculatio'!$C$18</f>
        <v>25.51</v>
      </c>
      <c r="F46" s="6" t="n">
        <f aca="false">'Delivery Details and calculatio'!$C$19</f>
        <v>37.43</v>
      </c>
      <c r="G46" s="6" t="n">
        <f aca="false">'Delivery Details and calculatio'!$C$20</f>
        <v>49.35</v>
      </c>
      <c r="H46" s="6" t="n">
        <f aca="false">'Delivery Details and calculatio'!$C$21</f>
        <v>61.28</v>
      </c>
    </row>
    <row r="47" customFormat="false" ht="15" hidden="false" customHeight="false" outlineLevel="0" collapsed="false">
      <c r="A47" s="10" t="s">
        <v>103</v>
      </c>
      <c r="B47" s="10" t="n">
        <v>5</v>
      </c>
      <c r="C47" s="10" t="s">
        <v>58</v>
      </c>
      <c r="D47" s="6" t="n">
        <f aca="false">'Delivery Details and calculatio'!$F$26</f>
        <v>32.73</v>
      </c>
      <c r="E47" s="6" t="n">
        <f aca="false">'Delivery Details and calculatio'!$F$27</f>
        <v>41.61</v>
      </c>
      <c r="F47" s="6" t="n">
        <f aca="false">'Delivery Details and calculatio'!$F$28</f>
        <v>59.38</v>
      </c>
      <c r="G47" s="6" t="n">
        <f aca="false">'Delivery Details and calculatio'!$F$29</f>
        <v>77.09</v>
      </c>
      <c r="H47" s="6" t="n">
        <f aca="false">'Delivery Details and calculatio'!$F$30</f>
        <v>94.81</v>
      </c>
    </row>
    <row r="48" customFormat="false" ht="15" hidden="false" customHeight="false" outlineLevel="0" collapsed="false">
      <c r="A48" s="10" t="s">
        <v>104</v>
      </c>
      <c r="B48" s="10" t="n">
        <v>5</v>
      </c>
      <c r="C48" s="10" t="s">
        <v>58</v>
      </c>
      <c r="D48" s="6" t="n">
        <f aca="false">'Delivery Details and calculatio'!$F$26</f>
        <v>32.73</v>
      </c>
      <c r="E48" s="6" t="n">
        <f aca="false">'Delivery Details and calculatio'!$F$27</f>
        <v>41.61</v>
      </c>
      <c r="F48" s="6" t="n">
        <f aca="false">'Delivery Details and calculatio'!$F$28</f>
        <v>59.38</v>
      </c>
      <c r="G48" s="6" t="n">
        <f aca="false">'Delivery Details and calculatio'!$F$29</f>
        <v>77.09</v>
      </c>
      <c r="H48" s="6" t="n">
        <f aca="false">'Delivery Details and calculatio'!$F$30</f>
        <v>94.81</v>
      </c>
    </row>
    <row r="49" customFormat="false" ht="15" hidden="false" customHeight="false" outlineLevel="0" collapsed="false">
      <c r="A49" s="10" t="s">
        <v>105</v>
      </c>
      <c r="B49" s="10" t="n">
        <v>5</v>
      </c>
      <c r="C49" s="10" t="s">
        <v>58</v>
      </c>
      <c r="D49" s="6" t="n">
        <f aca="false">'Delivery Details and calculatio'!$F$26</f>
        <v>32.73</v>
      </c>
      <c r="E49" s="6" t="n">
        <f aca="false">'Delivery Details and calculatio'!$F$27</f>
        <v>41.61</v>
      </c>
      <c r="F49" s="6" t="n">
        <f aca="false">'Delivery Details and calculatio'!$F$28</f>
        <v>59.38</v>
      </c>
      <c r="G49" s="6" t="n">
        <f aca="false">'Delivery Details and calculatio'!$F$29</f>
        <v>77.09</v>
      </c>
      <c r="H49" s="6" t="n">
        <f aca="false">'Delivery Details and calculatio'!$F$30</f>
        <v>94.81</v>
      </c>
    </row>
    <row r="50" customFormat="false" ht="15" hidden="false" customHeight="false" outlineLevel="0" collapsed="false">
      <c r="A50" s="10" t="s">
        <v>106</v>
      </c>
      <c r="B50" s="10" t="n">
        <v>5</v>
      </c>
      <c r="C50" s="10" t="s">
        <v>58</v>
      </c>
      <c r="D50" s="6" t="n">
        <f aca="false">'Delivery Details and calculatio'!$F$26</f>
        <v>32.73</v>
      </c>
      <c r="E50" s="6" t="n">
        <f aca="false">'Delivery Details and calculatio'!$F$27</f>
        <v>41.61</v>
      </c>
      <c r="F50" s="6" t="n">
        <f aca="false">'Delivery Details and calculatio'!$F$28</f>
        <v>59.38</v>
      </c>
      <c r="G50" s="6" t="n">
        <f aca="false">'Delivery Details and calculatio'!$F$29</f>
        <v>77.09</v>
      </c>
      <c r="H50" s="6" t="n">
        <f aca="false">'Delivery Details and calculatio'!$F$30</f>
        <v>94.81</v>
      </c>
    </row>
    <row r="51" customFormat="false" ht="15" hidden="false" customHeight="false" outlineLevel="0" collapsed="false">
      <c r="A51" s="10" t="s">
        <v>107</v>
      </c>
      <c r="B51" s="10" t="n">
        <v>2</v>
      </c>
      <c r="C51" s="10" t="s">
        <v>63</v>
      </c>
      <c r="D51" s="6" t="n">
        <f aca="false">'Delivery Details and calculatio'!$B$26</f>
        <v>19.57</v>
      </c>
      <c r="E51" s="6" t="n">
        <f aca="false">'Delivery Details and calculatio'!$B$27</f>
        <v>25.51</v>
      </c>
      <c r="F51" s="6" t="n">
        <f aca="false">'Delivery Details and calculatio'!$B$28</f>
        <v>37.43</v>
      </c>
      <c r="G51" s="6" t="n">
        <f aca="false">'Delivery Details and calculatio'!$B$29</f>
        <v>49.35</v>
      </c>
      <c r="H51" s="6" t="n">
        <f aca="false">'Delivery Details and calculatio'!$B$30</f>
        <v>61.28</v>
      </c>
    </row>
    <row r="52" customFormat="false" ht="15" hidden="false" customHeight="false" outlineLevel="0" collapsed="false">
      <c r="A52" s="10" t="s">
        <v>108</v>
      </c>
      <c r="B52" s="10" t="n">
        <v>5</v>
      </c>
      <c r="C52" s="10" t="s">
        <v>58</v>
      </c>
      <c r="D52" s="6" t="n">
        <f aca="false">'Delivery Details and calculatio'!$F$26</f>
        <v>32.73</v>
      </c>
      <c r="E52" s="6" t="n">
        <f aca="false">'Delivery Details and calculatio'!$F$27</f>
        <v>41.61</v>
      </c>
      <c r="F52" s="6" t="n">
        <f aca="false">'Delivery Details and calculatio'!$F$28</f>
        <v>59.38</v>
      </c>
      <c r="G52" s="6" t="n">
        <f aca="false">'Delivery Details and calculatio'!$F$29</f>
        <v>77.09</v>
      </c>
      <c r="H52" s="6" t="n">
        <f aca="false">'Delivery Details and calculatio'!$F$30</f>
        <v>94.81</v>
      </c>
    </row>
    <row r="53" customFormat="false" ht="15" hidden="false" customHeight="false" outlineLevel="0" collapsed="false">
      <c r="A53" s="10" t="s">
        <v>109</v>
      </c>
      <c r="B53" s="10" t="n">
        <v>5</v>
      </c>
      <c r="C53" s="10" t="s">
        <v>58</v>
      </c>
      <c r="D53" s="6" t="n">
        <f aca="false">'Delivery Details and calculatio'!$F$26</f>
        <v>32.73</v>
      </c>
      <c r="E53" s="6" t="n">
        <f aca="false">'Delivery Details and calculatio'!$F$27</f>
        <v>41.61</v>
      </c>
      <c r="F53" s="6" t="n">
        <f aca="false">'Delivery Details and calculatio'!$F$28</f>
        <v>59.38</v>
      </c>
      <c r="G53" s="6" t="n">
        <f aca="false">'Delivery Details and calculatio'!$F$29</f>
        <v>77.09</v>
      </c>
      <c r="H53" s="6" t="n">
        <f aca="false">'Delivery Details and calculatio'!$F$30</f>
        <v>94.81</v>
      </c>
    </row>
    <row r="54" customFormat="false" ht="15" hidden="false" customHeight="false" outlineLevel="0" collapsed="false">
      <c r="A54" s="10" t="s">
        <v>110</v>
      </c>
      <c r="B54" s="10" t="n">
        <v>4</v>
      </c>
      <c r="C54" s="10" t="s">
        <v>60</v>
      </c>
      <c r="D54" s="6" t="n">
        <f aca="false">'Delivery Details and calculatio'!$D$26</f>
        <v>26.98</v>
      </c>
      <c r="E54" s="6" t="n">
        <f aca="false">'Delivery Details and calculatio'!$D$27</f>
        <v>33.77</v>
      </c>
      <c r="F54" s="6" t="n">
        <f aca="false">'Delivery Details and calculatio'!$D$28</f>
        <v>47.41</v>
      </c>
      <c r="G54" s="6" t="n">
        <f aca="false">'Delivery Details and calculatio'!$D$29</f>
        <v>60.99</v>
      </c>
      <c r="H54" s="6" t="n">
        <f aca="false">'Delivery Details and calculatio'!$D$30</f>
        <v>74.58</v>
      </c>
    </row>
    <row r="55" customFormat="false" ht="15" hidden="false" customHeight="false" outlineLevel="0" collapsed="false">
      <c r="A55" s="10" t="s">
        <v>111</v>
      </c>
      <c r="B55" s="10" t="n">
        <v>5</v>
      </c>
      <c r="C55" s="10" t="s">
        <v>58</v>
      </c>
      <c r="D55" s="6" t="n">
        <f aca="false">'Delivery Details and calculatio'!$F$26</f>
        <v>32.73</v>
      </c>
      <c r="E55" s="6" t="n">
        <f aca="false">'Delivery Details and calculatio'!$F$27</f>
        <v>41.61</v>
      </c>
      <c r="F55" s="6" t="n">
        <f aca="false">'Delivery Details and calculatio'!$F$28</f>
        <v>59.38</v>
      </c>
      <c r="G55" s="6" t="n">
        <f aca="false">'Delivery Details and calculatio'!$F$29</f>
        <v>77.09</v>
      </c>
      <c r="H55" s="6" t="n">
        <f aca="false">'Delivery Details and calculatio'!$F$30</f>
        <v>94.81</v>
      </c>
    </row>
    <row r="56" customFormat="false" ht="15" hidden="false" customHeight="false" outlineLevel="0" collapsed="false">
      <c r="A56" s="10" t="s">
        <v>112</v>
      </c>
      <c r="B56" s="10" t="n">
        <v>5</v>
      </c>
      <c r="C56" s="10" t="s">
        <v>58</v>
      </c>
      <c r="D56" s="6" t="n">
        <f aca="false">'Delivery Details and calculatio'!$F$26</f>
        <v>32.73</v>
      </c>
      <c r="E56" s="6" t="n">
        <f aca="false">'Delivery Details and calculatio'!$F$27</f>
        <v>41.61</v>
      </c>
      <c r="F56" s="6" t="n">
        <f aca="false">'Delivery Details and calculatio'!$F$28</f>
        <v>59.38</v>
      </c>
      <c r="G56" s="6" t="n">
        <f aca="false">'Delivery Details and calculatio'!$F$29</f>
        <v>77.09</v>
      </c>
      <c r="H56" s="6" t="n">
        <f aca="false">'Delivery Details and calculatio'!$F$30</f>
        <v>94.81</v>
      </c>
    </row>
    <row r="57" customFormat="false" ht="15" hidden="false" customHeight="false" outlineLevel="0" collapsed="false">
      <c r="A57" s="10" t="s">
        <v>113</v>
      </c>
      <c r="B57" s="10" t="n">
        <v>4</v>
      </c>
      <c r="C57" s="10" t="s">
        <v>60</v>
      </c>
      <c r="D57" s="6" t="n">
        <f aca="false">'Delivery Details and calculatio'!$D$26</f>
        <v>26.98</v>
      </c>
      <c r="E57" s="6" t="n">
        <f aca="false">'Delivery Details and calculatio'!$D$27</f>
        <v>33.77</v>
      </c>
      <c r="F57" s="6" t="n">
        <f aca="false">'Delivery Details and calculatio'!$D$28</f>
        <v>47.41</v>
      </c>
      <c r="G57" s="6" t="n">
        <f aca="false">'Delivery Details and calculatio'!$D$29</f>
        <v>60.99</v>
      </c>
      <c r="H57" s="6" t="n">
        <f aca="false">'Delivery Details and calculatio'!$D$30</f>
        <v>74.58</v>
      </c>
    </row>
    <row r="58" customFormat="false" ht="15" hidden="false" customHeight="false" outlineLevel="0" collapsed="false">
      <c r="A58" s="10" t="s">
        <v>114</v>
      </c>
      <c r="B58" s="10" t="n">
        <v>4</v>
      </c>
      <c r="C58" s="10" t="s">
        <v>60</v>
      </c>
      <c r="D58" s="6" t="n">
        <f aca="false">'Delivery Details and calculatio'!$D$26</f>
        <v>26.98</v>
      </c>
      <c r="E58" s="6" t="n">
        <f aca="false">'Delivery Details and calculatio'!$D$27</f>
        <v>33.77</v>
      </c>
      <c r="F58" s="6" t="n">
        <f aca="false">'Delivery Details and calculatio'!$D$28</f>
        <v>47.41</v>
      </c>
      <c r="G58" s="6" t="n">
        <f aca="false">'Delivery Details and calculatio'!$D$29</f>
        <v>60.99</v>
      </c>
      <c r="H58" s="6" t="n">
        <f aca="false">'Delivery Details and calculatio'!$D$30</f>
        <v>74.58</v>
      </c>
    </row>
    <row r="59" customFormat="false" ht="15" hidden="false" customHeight="false" outlineLevel="0" collapsed="false">
      <c r="A59" s="10" t="s">
        <v>115</v>
      </c>
      <c r="B59" s="10" t="n">
        <v>4</v>
      </c>
      <c r="C59" s="10" t="s">
        <v>60</v>
      </c>
      <c r="D59" s="6" t="n">
        <f aca="false">'Delivery Details and calculatio'!$D$26</f>
        <v>26.98</v>
      </c>
      <c r="E59" s="6" t="n">
        <f aca="false">'Delivery Details and calculatio'!$D$27</f>
        <v>33.77</v>
      </c>
      <c r="F59" s="6" t="n">
        <f aca="false">'Delivery Details and calculatio'!$D$28</f>
        <v>47.41</v>
      </c>
      <c r="G59" s="6" t="n">
        <f aca="false">'Delivery Details and calculatio'!$D$29</f>
        <v>60.99</v>
      </c>
      <c r="H59" s="6" t="n">
        <f aca="false">'Delivery Details and calculatio'!$D$30</f>
        <v>74.58</v>
      </c>
    </row>
    <row r="60" customFormat="false" ht="15" hidden="false" customHeight="false" outlineLevel="0" collapsed="false">
      <c r="A60" s="10" t="s">
        <v>116</v>
      </c>
      <c r="B60" s="10" t="n">
        <v>5</v>
      </c>
      <c r="C60" s="10" t="s">
        <v>58</v>
      </c>
      <c r="D60" s="6" t="n">
        <f aca="false">'Delivery Details and calculatio'!$F$26</f>
        <v>32.73</v>
      </c>
      <c r="E60" s="6" t="n">
        <f aca="false">'Delivery Details and calculatio'!$F$27</f>
        <v>41.61</v>
      </c>
      <c r="F60" s="6" t="n">
        <f aca="false">'Delivery Details and calculatio'!$F$28</f>
        <v>59.38</v>
      </c>
      <c r="G60" s="6" t="n">
        <f aca="false">'Delivery Details and calculatio'!$F$29</f>
        <v>77.09</v>
      </c>
      <c r="H60" s="6" t="n">
        <f aca="false">'Delivery Details and calculatio'!$F$30</f>
        <v>94.81</v>
      </c>
    </row>
    <row r="61" customFormat="false" ht="15" hidden="false" customHeight="false" outlineLevel="0" collapsed="false">
      <c r="A61" s="10" t="s">
        <v>117</v>
      </c>
      <c r="B61" s="10" t="n">
        <v>5</v>
      </c>
      <c r="C61" s="10" t="s">
        <v>58</v>
      </c>
      <c r="D61" s="6" t="n">
        <f aca="false">'Delivery Details and calculatio'!$F$26</f>
        <v>32.73</v>
      </c>
      <c r="E61" s="6" t="n">
        <f aca="false">'Delivery Details and calculatio'!$F$27</f>
        <v>41.61</v>
      </c>
      <c r="F61" s="6" t="n">
        <f aca="false">'Delivery Details and calculatio'!$F$28</f>
        <v>59.38</v>
      </c>
      <c r="G61" s="6" t="n">
        <f aca="false">'Delivery Details and calculatio'!$F$29</f>
        <v>77.09</v>
      </c>
      <c r="H61" s="6" t="n">
        <f aca="false">'Delivery Details and calculatio'!$F$30</f>
        <v>94.81</v>
      </c>
    </row>
    <row r="62" customFormat="false" ht="15" hidden="false" customHeight="false" outlineLevel="0" collapsed="false">
      <c r="A62" s="10" t="s">
        <v>118</v>
      </c>
      <c r="B62" s="10" t="n">
        <v>5</v>
      </c>
      <c r="C62" s="10" t="s">
        <v>58</v>
      </c>
      <c r="D62" s="6" t="n">
        <f aca="false">'Delivery Details and calculatio'!$F$26</f>
        <v>32.73</v>
      </c>
      <c r="E62" s="6" t="n">
        <f aca="false">'Delivery Details and calculatio'!$F$27</f>
        <v>41.61</v>
      </c>
      <c r="F62" s="6" t="n">
        <f aca="false">'Delivery Details and calculatio'!$F$28</f>
        <v>59.38</v>
      </c>
      <c r="G62" s="6" t="n">
        <f aca="false">'Delivery Details and calculatio'!$F$29</f>
        <v>77.09</v>
      </c>
      <c r="H62" s="6" t="n">
        <f aca="false">'Delivery Details and calculatio'!$F$30</f>
        <v>94.81</v>
      </c>
    </row>
    <row r="63" customFormat="false" ht="15" hidden="false" customHeight="false" outlineLevel="0" collapsed="false">
      <c r="A63" s="10" t="s">
        <v>119</v>
      </c>
      <c r="B63" s="10" t="n">
        <v>5</v>
      </c>
      <c r="C63" s="10" t="s">
        <v>58</v>
      </c>
      <c r="D63" s="6" t="n">
        <f aca="false">'Delivery Details and calculatio'!$F$26</f>
        <v>32.73</v>
      </c>
      <c r="E63" s="6" t="n">
        <f aca="false">'Delivery Details and calculatio'!$F$27</f>
        <v>41.61</v>
      </c>
      <c r="F63" s="6" t="n">
        <f aca="false">'Delivery Details and calculatio'!$F$28</f>
        <v>59.38</v>
      </c>
      <c r="G63" s="6" t="n">
        <f aca="false">'Delivery Details and calculatio'!$F$29</f>
        <v>77.09</v>
      </c>
      <c r="H63" s="6" t="n">
        <f aca="false">'Delivery Details and calculatio'!$F$30</f>
        <v>94.81</v>
      </c>
    </row>
    <row r="64" customFormat="false" ht="15" hidden="false" customHeight="false" outlineLevel="0" collapsed="false">
      <c r="A64" s="10" t="s">
        <v>120</v>
      </c>
      <c r="B64" s="10" t="n">
        <v>5</v>
      </c>
      <c r="C64" s="10" t="s">
        <v>58</v>
      </c>
      <c r="D64" s="6" t="n">
        <f aca="false">'Delivery Details and calculatio'!$F$26</f>
        <v>32.73</v>
      </c>
      <c r="E64" s="6" t="n">
        <f aca="false">'Delivery Details and calculatio'!$F$27</f>
        <v>41.61</v>
      </c>
      <c r="F64" s="6" t="n">
        <f aca="false">'Delivery Details and calculatio'!$F$28</f>
        <v>59.38</v>
      </c>
      <c r="G64" s="6" t="n">
        <f aca="false">'Delivery Details and calculatio'!$F$29</f>
        <v>77.09</v>
      </c>
      <c r="H64" s="6" t="n">
        <f aca="false">'Delivery Details and calculatio'!$F$30</f>
        <v>94.81</v>
      </c>
    </row>
    <row r="65" customFormat="false" ht="15" hidden="false" customHeight="false" outlineLevel="0" collapsed="false">
      <c r="A65" s="10" t="s">
        <v>121</v>
      </c>
      <c r="B65" s="10" t="n">
        <v>5</v>
      </c>
      <c r="C65" s="10" t="s">
        <v>58</v>
      </c>
      <c r="D65" s="6" t="n">
        <f aca="false">'Delivery Details and calculatio'!$F$26</f>
        <v>32.73</v>
      </c>
      <c r="E65" s="6" t="n">
        <f aca="false">'Delivery Details and calculatio'!$F$27</f>
        <v>41.61</v>
      </c>
      <c r="F65" s="6" t="n">
        <f aca="false">'Delivery Details and calculatio'!$F$28</f>
        <v>59.38</v>
      </c>
      <c r="G65" s="6" t="n">
        <f aca="false">'Delivery Details and calculatio'!$F$29</f>
        <v>77.09</v>
      </c>
      <c r="H65" s="6" t="n">
        <f aca="false">'Delivery Details and calculatio'!$F$30</f>
        <v>94.81</v>
      </c>
    </row>
    <row r="66" customFormat="false" ht="15" hidden="false" customHeight="false" outlineLevel="0" collapsed="false">
      <c r="A66" s="10" t="s">
        <v>122</v>
      </c>
      <c r="B66" s="10" t="n">
        <v>5</v>
      </c>
      <c r="C66" s="10" t="s">
        <v>58</v>
      </c>
      <c r="D66" s="6" t="n">
        <f aca="false">'Delivery Details and calculatio'!$F$26</f>
        <v>32.73</v>
      </c>
      <c r="E66" s="6" t="n">
        <f aca="false">'Delivery Details and calculatio'!$F$27</f>
        <v>41.61</v>
      </c>
      <c r="F66" s="6" t="n">
        <f aca="false">'Delivery Details and calculatio'!$F$28</f>
        <v>59.38</v>
      </c>
      <c r="G66" s="6" t="n">
        <f aca="false">'Delivery Details and calculatio'!$F$29</f>
        <v>77.09</v>
      </c>
      <c r="H66" s="6" t="n">
        <f aca="false">'Delivery Details and calculatio'!$F$30</f>
        <v>94.81</v>
      </c>
    </row>
    <row r="67" customFormat="false" ht="15" hidden="false" customHeight="false" outlineLevel="0" collapsed="false">
      <c r="A67" s="10" t="s">
        <v>123</v>
      </c>
      <c r="B67" s="10" t="n">
        <v>5</v>
      </c>
      <c r="C67" s="10" t="s">
        <v>58</v>
      </c>
      <c r="D67" s="6" t="n">
        <f aca="false">'Delivery Details and calculatio'!$F$26</f>
        <v>32.73</v>
      </c>
      <c r="E67" s="6" t="n">
        <f aca="false">'Delivery Details and calculatio'!$F$27</f>
        <v>41.61</v>
      </c>
      <c r="F67" s="6" t="n">
        <f aca="false">'Delivery Details and calculatio'!$F$28</f>
        <v>59.38</v>
      </c>
      <c r="G67" s="6" t="n">
        <f aca="false">'Delivery Details and calculatio'!$F$29</f>
        <v>77.09</v>
      </c>
      <c r="H67" s="6" t="n">
        <f aca="false">'Delivery Details and calculatio'!$F$30</f>
        <v>94.81</v>
      </c>
    </row>
    <row r="68" customFormat="false" ht="15" hidden="false" customHeight="false" outlineLevel="0" collapsed="false">
      <c r="A68" s="10" t="s">
        <v>124</v>
      </c>
      <c r="B68" s="10" t="n">
        <v>4</v>
      </c>
      <c r="C68" s="10" t="s">
        <v>60</v>
      </c>
      <c r="D68" s="6" t="n">
        <f aca="false">'Delivery Details and calculatio'!$D$26</f>
        <v>26.98</v>
      </c>
      <c r="E68" s="6" t="n">
        <f aca="false">'Delivery Details and calculatio'!$D$27</f>
        <v>33.77</v>
      </c>
      <c r="F68" s="6" t="n">
        <f aca="false">'Delivery Details and calculatio'!$D$28</f>
        <v>47.41</v>
      </c>
      <c r="G68" s="6" t="n">
        <f aca="false">'Delivery Details and calculatio'!$D$29</f>
        <v>60.99</v>
      </c>
      <c r="H68" s="6" t="n">
        <f aca="false">'Delivery Details and calculatio'!$D$30</f>
        <v>74.58</v>
      </c>
    </row>
    <row r="69" customFormat="false" ht="15" hidden="false" customHeight="false" outlineLevel="0" collapsed="false">
      <c r="A69" s="10" t="s">
        <v>125</v>
      </c>
      <c r="B69" s="10" t="n">
        <v>5</v>
      </c>
      <c r="C69" s="10" t="s">
        <v>58</v>
      </c>
      <c r="D69" s="6" t="n">
        <f aca="false">'Delivery Details and calculatio'!$F$26</f>
        <v>32.73</v>
      </c>
      <c r="E69" s="6" t="n">
        <f aca="false">'Delivery Details and calculatio'!$F$27</f>
        <v>41.61</v>
      </c>
      <c r="F69" s="6" t="n">
        <f aca="false">'Delivery Details and calculatio'!$F$28</f>
        <v>59.38</v>
      </c>
      <c r="G69" s="6" t="n">
        <f aca="false">'Delivery Details and calculatio'!$F$29</f>
        <v>77.09</v>
      </c>
      <c r="H69" s="6" t="n">
        <f aca="false">'Delivery Details and calculatio'!$F$30</f>
        <v>94.81</v>
      </c>
    </row>
    <row r="70" customFormat="false" ht="15" hidden="false" customHeight="false" outlineLevel="0" collapsed="false">
      <c r="A70" s="10" t="s">
        <v>126</v>
      </c>
      <c r="B70" s="10" t="n">
        <v>5</v>
      </c>
      <c r="C70" s="10" t="s">
        <v>58</v>
      </c>
      <c r="D70" s="6" t="n">
        <f aca="false">'Delivery Details and calculatio'!$F$26</f>
        <v>32.73</v>
      </c>
      <c r="E70" s="6" t="n">
        <f aca="false">'Delivery Details and calculatio'!$F$27</f>
        <v>41.61</v>
      </c>
      <c r="F70" s="6" t="n">
        <f aca="false">'Delivery Details and calculatio'!$F$28</f>
        <v>59.38</v>
      </c>
      <c r="G70" s="6" t="n">
        <f aca="false">'Delivery Details and calculatio'!$F$29</f>
        <v>77.09</v>
      </c>
      <c r="H70" s="6" t="n">
        <f aca="false">'Delivery Details and calculatio'!$F$30</f>
        <v>94.81</v>
      </c>
    </row>
    <row r="71" customFormat="false" ht="15" hidden="false" customHeight="false" outlineLevel="0" collapsed="false">
      <c r="A71" s="10" t="s">
        <v>127</v>
      </c>
      <c r="B71" s="10" t="n">
        <v>5</v>
      </c>
      <c r="C71" s="10" t="s">
        <v>58</v>
      </c>
      <c r="D71" s="6" t="n">
        <f aca="false">'Delivery Details and calculatio'!$F$26</f>
        <v>32.73</v>
      </c>
      <c r="E71" s="6" t="n">
        <f aca="false">'Delivery Details and calculatio'!$F$27</f>
        <v>41.61</v>
      </c>
      <c r="F71" s="6" t="n">
        <f aca="false">'Delivery Details and calculatio'!$F$28</f>
        <v>59.38</v>
      </c>
      <c r="G71" s="6" t="n">
        <f aca="false">'Delivery Details and calculatio'!$F$29</f>
        <v>77.09</v>
      </c>
      <c r="H71" s="6" t="n">
        <f aca="false">'Delivery Details and calculatio'!$F$30</f>
        <v>94.81</v>
      </c>
    </row>
    <row r="72" customFormat="false" ht="15" hidden="false" customHeight="false" outlineLevel="0" collapsed="false">
      <c r="A72" s="10" t="s">
        <v>128</v>
      </c>
      <c r="B72" s="10" t="n">
        <v>5</v>
      </c>
      <c r="C72" s="10" t="s">
        <v>58</v>
      </c>
      <c r="D72" s="6" t="n">
        <f aca="false">'Delivery Details and calculatio'!$F$26</f>
        <v>32.73</v>
      </c>
      <c r="E72" s="6" t="n">
        <f aca="false">'Delivery Details and calculatio'!$F$27</f>
        <v>41.61</v>
      </c>
      <c r="F72" s="6" t="n">
        <f aca="false">'Delivery Details and calculatio'!$F$28</f>
        <v>59.38</v>
      </c>
      <c r="G72" s="6" t="n">
        <f aca="false">'Delivery Details and calculatio'!$F$29</f>
        <v>77.09</v>
      </c>
      <c r="H72" s="6" t="n">
        <f aca="false">'Delivery Details and calculatio'!$F$30</f>
        <v>94.81</v>
      </c>
    </row>
    <row r="73" customFormat="false" ht="15" hidden="false" customHeight="false" outlineLevel="0" collapsed="false">
      <c r="A73" s="10" t="s">
        <v>129</v>
      </c>
      <c r="B73" s="10" t="n">
        <v>2</v>
      </c>
      <c r="C73" s="10" t="s">
        <v>63</v>
      </c>
      <c r="D73" s="6" t="n">
        <f aca="false">'Delivery Details and calculatio'!$B$26</f>
        <v>19.57</v>
      </c>
      <c r="E73" s="6" t="n">
        <f aca="false">'Delivery Details and calculatio'!$B$27</f>
        <v>25.51</v>
      </c>
      <c r="F73" s="6" t="n">
        <f aca="false">'Delivery Details and calculatio'!$B$28</f>
        <v>37.43</v>
      </c>
      <c r="G73" s="6" t="n">
        <f aca="false">'Delivery Details and calculatio'!$B$29</f>
        <v>49.35</v>
      </c>
      <c r="H73" s="6" t="n">
        <f aca="false">'Delivery Details and calculatio'!$B$30</f>
        <v>61.28</v>
      </c>
    </row>
    <row r="74" customFormat="false" ht="15" hidden="false" customHeight="false" outlineLevel="0" collapsed="false">
      <c r="A74" s="10" t="s">
        <v>130</v>
      </c>
      <c r="B74" s="10" t="n">
        <v>4</v>
      </c>
      <c r="C74" s="10" t="s">
        <v>60</v>
      </c>
      <c r="D74" s="6" t="n">
        <f aca="false">'Delivery Details and calculatio'!$D$26</f>
        <v>26.98</v>
      </c>
      <c r="E74" s="6" t="n">
        <f aca="false">'Delivery Details and calculatio'!$D$27</f>
        <v>33.77</v>
      </c>
      <c r="F74" s="6" t="n">
        <f aca="false">'Delivery Details and calculatio'!$D$28</f>
        <v>47.41</v>
      </c>
      <c r="G74" s="6" t="n">
        <f aca="false">'Delivery Details and calculatio'!$D$29</f>
        <v>60.99</v>
      </c>
      <c r="H74" s="6" t="n">
        <f aca="false">'Delivery Details and calculatio'!$D$30</f>
        <v>74.58</v>
      </c>
    </row>
    <row r="75" customFormat="false" ht="15" hidden="false" customHeight="false" outlineLevel="0" collapsed="false">
      <c r="A75" s="10" t="s">
        <v>131</v>
      </c>
      <c r="B75" s="10" t="n">
        <v>4</v>
      </c>
      <c r="C75" s="10" t="s">
        <v>60</v>
      </c>
      <c r="D75" s="6" t="n">
        <f aca="false">'Delivery Details and calculatio'!$D$26</f>
        <v>26.98</v>
      </c>
      <c r="E75" s="6" t="n">
        <f aca="false">'Delivery Details and calculatio'!$D$27</f>
        <v>33.77</v>
      </c>
      <c r="F75" s="6" t="n">
        <f aca="false">'Delivery Details and calculatio'!$D$28</f>
        <v>47.41</v>
      </c>
      <c r="G75" s="6" t="n">
        <f aca="false">'Delivery Details and calculatio'!$D$29</f>
        <v>60.99</v>
      </c>
      <c r="H75" s="6" t="n">
        <f aca="false">'Delivery Details and calculatio'!$D$30</f>
        <v>74.58</v>
      </c>
    </row>
    <row r="76" customFormat="false" ht="15" hidden="false" customHeight="false" outlineLevel="0" collapsed="false">
      <c r="A76" s="10" t="s">
        <v>132</v>
      </c>
      <c r="B76" s="10" t="n">
        <v>5</v>
      </c>
      <c r="C76" s="10" t="s">
        <v>58</v>
      </c>
      <c r="D76" s="6" t="n">
        <f aca="false">'Delivery Details and calculatio'!$F$26</f>
        <v>32.73</v>
      </c>
      <c r="E76" s="6" t="n">
        <f aca="false">'Delivery Details and calculatio'!$F$27</f>
        <v>41.61</v>
      </c>
      <c r="F76" s="6" t="n">
        <f aca="false">'Delivery Details and calculatio'!$F$28</f>
        <v>59.38</v>
      </c>
      <c r="G76" s="6" t="n">
        <f aca="false">'Delivery Details and calculatio'!$F$29</f>
        <v>77.09</v>
      </c>
      <c r="H76" s="6" t="n">
        <f aca="false">'Delivery Details and calculatio'!$F$30</f>
        <v>94.81</v>
      </c>
    </row>
    <row r="77" customFormat="false" ht="15" hidden="false" customHeight="false" outlineLevel="0" collapsed="false">
      <c r="A77" s="10" t="s">
        <v>133</v>
      </c>
      <c r="B77" s="10" t="n">
        <v>2</v>
      </c>
      <c r="C77" s="10" t="s">
        <v>63</v>
      </c>
      <c r="D77" s="6" t="n">
        <f aca="false">'Delivery Details and calculatio'!$B$26</f>
        <v>19.57</v>
      </c>
      <c r="E77" s="6" t="n">
        <f aca="false">'Delivery Details and calculatio'!$B$27</f>
        <v>25.51</v>
      </c>
      <c r="F77" s="6" t="n">
        <f aca="false">'Delivery Details and calculatio'!$B$28</f>
        <v>37.43</v>
      </c>
      <c r="G77" s="6" t="n">
        <f aca="false">'Delivery Details and calculatio'!$B$29</f>
        <v>49.35</v>
      </c>
      <c r="H77" s="6" t="n">
        <f aca="false">'Delivery Details and calculatio'!$B$30</f>
        <v>61.28</v>
      </c>
    </row>
    <row r="78" customFormat="false" ht="15" hidden="false" customHeight="false" outlineLevel="0" collapsed="false">
      <c r="A78" s="10" t="s">
        <v>134</v>
      </c>
      <c r="B78" s="10" t="n">
        <v>5</v>
      </c>
      <c r="C78" s="10" t="s">
        <v>58</v>
      </c>
      <c r="D78" s="6" t="n">
        <f aca="false">'Delivery Details and calculatio'!$F$26</f>
        <v>32.73</v>
      </c>
      <c r="E78" s="6" t="n">
        <f aca="false">'Delivery Details and calculatio'!$F$27</f>
        <v>41.61</v>
      </c>
      <c r="F78" s="6" t="n">
        <f aca="false">'Delivery Details and calculatio'!$F$28</f>
        <v>59.38</v>
      </c>
      <c r="G78" s="6" t="n">
        <f aca="false">'Delivery Details and calculatio'!$F$29</f>
        <v>77.09</v>
      </c>
      <c r="H78" s="6" t="n">
        <f aca="false">'Delivery Details and calculatio'!$F$30</f>
        <v>94.81</v>
      </c>
    </row>
    <row r="79" customFormat="false" ht="15" hidden="false" customHeight="false" outlineLevel="0" collapsed="false">
      <c r="A79" s="10" t="s">
        <v>135</v>
      </c>
      <c r="B79" s="10" t="n">
        <v>5</v>
      </c>
      <c r="C79" s="10" t="s">
        <v>58</v>
      </c>
      <c r="D79" s="6" t="n">
        <f aca="false">'Delivery Details and calculatio'!$F$26</f>
        <v>32.73</v>
      </c>
      <c r="E79" s="6" t="n">
        <f aca="false">'Delivery Details and calculatio'!$F$27</f>
        <v>41.61</v>
      </c>
      <c r="F79" s="6" t="n">
        <f aca="false">'Delivery Details and calculatio'!$F$28</f>
        <v>59.38</v>
      </c>
      <c r="G79" s="6" t="n">
        <f aca="false">'Delivery Details and calculatio'!$F$29</f>
        <v>77.09</v>
      </c>
      <c r="H79" s="6" t="n">
        <f aca="false">'Delivery Details and calculatio'!$F$30</f>
        <v>94.81</v>
      </c>
    </row>
    <row r="80" customFormat="false" ht="15" hidden="false" customHeight="false" outlineLevel="0" collapsed="false">
      <c r="A80" s="10" t="s">
        <v>136</v>
      </c>
      <c r="B80" s="10" t="n">
        <v>5</v>
      </c>
      <c r="C80" s="10" t="s">
        <v>58</v>
      </c>
      <c r="D80" s="6" t="n">
        <f aca="false">'Delivery Details and calculatio'!$F$26</f>
        <v>32.73</v>
      </c>
      <c r="E80" s="6" t="n">
        <f aca="false">'Delivery Details and calculatio'!$F$27</f>
        <v>41.61</v>
      </c>
      <c r="F80" s="6" t="n">
        <f aca="false">'Delivery Details and calculatio'!$F$28</f>
        <v>59.38</v>
      </c>
      <c r="G80" s="6" t="n">
        <f aca="false">'Delivery Details and calculatio'!$F$29</f>
        <v>77.09</v>
      </c>
      <c r="H80" s="6" t="n">
        <f aca="false">'Delivery Details and calculatio'!$F$30</f>
        <v>94.81</v>
      </c>
    </row>
    <row r="81" customFormat="false" ht="15" hidden="false" customHeight="false" outlineLevel="0" collapsed="false">
      <c r="A81" s="10" t="s">
        <v>137</v>
      </c>
      <c r="B81" s="10" t="n">
        <v>4</v>
      </c>
      <c r="C81" s="10" t="s">
        <v>60</v>
      </c>
      <c r="D81" s="6" t="n">
        <f aca="false">'Delivery Details and calculatio'!$D$26</f>
        <v>26.98</v>
      </c>
      <c r="E81" s="6" t="n">
        <f aca="false">'Delivery Details and calculatio'!$D$27</f>
        <v>33.77</v>
      </c>
      <c r="F81" s="6" t="n">
        <f aca="false">'Delivery Details and calculatio'!$D$28</f>
        <v>47.41</v>
      </c>
      <c r="G81" s="6" t="n">
        <f aca="false">'Delivery Details and calculatio'!$D$29</f>
        <v>60.99</v>
      </c>
      <c r="H81" s="6" t="n">
        <f aca="false">'Delivery Details and calculatio'!$D$30</f>
        <v>74.58</v>
      </c>
    </row>
    <row r="82" customFormat="false" ht="15" hidden="false" customHeight="false" outlineLevel="0" collapsed="false">
      <c r="A82" s="10" t="s">
        <v>138</v>
      </c>
      <c r="B82" s="10" t="n">
        <v>5</v>
      </c>
      <c r="C82" s="10" t="s">
        <v>58</v>
      </c>
      <c r="D82" s="6" t="n">
        <f aca="false">'Delivery Details and calculatio'!$F$26</f>
        <v>32.73</v>
      </c>
      <c r="E82" s="6" t="n">
        <f aca="false">'Delivery Details and calculatio'!$F$27</f>
        <v>41.61</v>
      </c>
      <c r="F82" s="6" t="n">
        <f aca="false">'Delivery Details and calculatio'!$F$28</f>
        <v>59.38</v>
      </c>
      <c r="G82" s="6" t="n">
        <f aca="false">'Delivery Details and calculatio'!$F$29</f>
        <v>77.09</v>
      </c>
      <c r="H82" s="6" t="n">
        <f aca="false">'Delivery Details and calculatio'!$F$30</f>
        <v>94.81</v>
      </c>
    </row>
    <row r="83" customFormat="false" ht="15" hidden="false" customHeight="false" outlineLevel="0" collapsed="false">
      <c r="A83" s="10" t="s">
        <v>139</v>
      </c>
      <c r="B83" s="10" t="n">
        <v>5</v>
      </c>
      <c r="C83" s="10" t="s">
        <v>58</v>
      </c>
      <c r="D83" s="6" t="n">
        <f aca="false">'Delivery Details and calculatio'!$F$26</f>
        <v>32.73</v>
      </c>
      <c r="E83" s="6" t="n">
        <f aca="false">'Delivery Details and calculatio'!$F$27</f>
        <v>41.61</v>
      </c>
      <c r="F83" s="6" t="n">
        <f aca="false">'Delivery Details and calculatio'!$F$28</f>
        <v>59.38</v>
      </c>
      <c r="G83" s="6" t="n">
        <f aca="false">'Delivery Details and calculatio'!$F$29</f>
        <v>77.09</v>
      </c>
      <c r="H83" s="6" t="n">
        <f aca="false">'Delivery Details and calculatio'!$F$30</f>
        <v>94.81</v>
      </c>
    </row>
    <row r="84" customFormat="false" ht="15" hidden="false" customHeight="false" outlineLevel="0" collapsed="false">
      <c r="A84" s="10" t="s">
        <v>140</v>
      </c>
      <c r="B84" s="10" t="n">
        <v>4</v>
      </c>
      <c r="C84" s="10" t="s">
        <v>60</v>
      </c>
      <c r="D84" s="6" t="n">
        <f aca="false">'Delivery Details and calculatio'!$D$26</f>
        <v>26.98</v>
      </c>
      <c r="E84" s="6" t="n">
        <f aca="false">'Delivery Details and calculatio'!$D$27</f>
        <v>33.77</v>
      </c>
      <c r="F84" s="6" t="n">
        <f aca="false">'Delivery Details and calculatio'!$D$28</f>
        <v>47.41</v>
      </c>
      <c r="G84" s="6" t="n">
        <f aca="false">'Delivery Details and calculatio'!$D$29</f>
        <v>60.99</v>
      </c>
      <c r="H84" s="6" t="n">
        <f aca="false">'Delivery Details and calculatio'!$D$30</f>
        <v>74.58</v>
      </c>
    </row>
    <row r="85" customFormat="false" ht="15" hidden="false" customHeight="false" outlineLevel="0" collapsed="false">
      <c r="A85" s="10" t="s">
        <v>141</v>
      </c>
      <c r="B85" s="10" t="n">
        <v>5</v>
      </c>
      <c r="C85" s="10" t="s">
        <v>58</v>
      </c>
      <c r="D85" s="6" t="n">
        <f aca="false">'Delivery Details and calculatio'!$F$26</f>
        <v>32.73</v>
      </c>
      <c r="E85" s="6" t="n">
        <f aca="false">'Delivery Details and calculatio'!$F$27</f>
        <v>41.61</v>
      </c>
      <c r="F85" s="6" t="n">
        <f aca="false">'Delivery Details and calculatio'!$F$28</f>
        <v>59.38</v>
      </c>
      <c r="G85" s="6" t="n">
        <f aca="false">'Delivery Details and calculatio'!$F$29</f>
        <v>77.09</v>
      </c>
      <c r="H85" s="6" t="n">
        <f aca="false">'Delivery Details and calculatio'!$F$30</f>
        <v>94.81</v>
      </c>
    </row>
    <row r="86" customFormat="false" ht="15" hidden="false" customHeight="false" outlineLevel="0" collapsed="false">
      <c r="A86" s="10" t="s">
        <v>142</v>
      </c>
      <c r="B86" s="10" t="n">
        <v>5</v>
      </c>
      <c r="C86" s="10" t="s">
        <v>58</v>
      </c>
      <c r="D86" s="6" t="n">
        <f aca="false">'Delivery Details and calculatio'!$F$26</f>
        <v>32.73</v>
      </c>
      <c r="E86" s="6" t="n">
        <f aca="false">'Delivery Details and calculatio'!$F$27</f>
        <v>41.61</v>
      </c>
      <c r="F86" s="6" t="n">
        <f aca="false">'Delivery Details and calculatio'!$F$28</f>
        <v>59.38</v>
      </c>
      <c r="G86" s="6" t="n">
        <f aca="false">'Delivery Details and calculatio'!$F$29</f>
        <v>77.09</v>
      </c>
      <c r="H86" s="6" t="n">
        <f aca="false">'Delivery Details and calculatio'!$F$30</f>
        <v>94.81</v>
      </c>
    </row>
    <row r="87" customFormat="false" ht="15" hidden="false" customHeight="false" outlineLevel="0" collapsed="false">
      <c r="A87" s="10" t="s">
        <v>143</v>
      </c>
      <c r="B87" s="10" t="n">
        <v>5</v>
      </c>
      <c r="C87" s="10" t="s">
        <v>58</v>
      </c>
      <c r="D87" s="6" t="n">
        <f aca="false">'Delivery Details and calculatio'!$F$26</f>
        <v>32.73</v>
      </c>
      <c r="E87" s="6" t="n">
        <f aca="false">'Delivery Details and calculatio'!$F$27</f>
        <v>41.61</v>
      </c>
      <c r="F87" s="6" t="n">
        <f aca="false">'Delivery Details and calculatio'!$F$28</f>
        <v>59.38</v>
      </c>
      <c r="G87" s="6" t="n">
        <f aca="false">'Delivery Details and calculatio'!$F$29</f>
        <v>77.09</v>
      </c>
      <c r="H87" s="6" t="n">
        <f aca="false">'Delivery Details and calculatio'!$F$30</f>
        <v>94.81</v>
      </c>
    </row>
    <row r="88" customFormat="false" ht="15" hidden="false" customHeight="false" outlineLevel="0" collapsed="false">
      <c r="A88" s="10" t="s">
        <v>144</v>
      </c>
      <c r="B88" s="10" t="n">
        <v>2</v>
      </c>
      <c r="C88" s="10" t="s">
        <v>63</v>
      </c>
      <c r="D88" s="6" t="n">
        <f aca="false">'Delivery Details and calculatio'!$B$26</f>
        <v>19.57</v>
      </c>
      <c r="E88" s="6" t="n">
        <f aca="false">'Delivery Details and calculatio'!$B$27</f>
        <v>25.51</v>
      </c>
      <c r="F88" s="6" t="n">
        <f aca="false">'Delivery Details and calculatio'!$B$28</f>
        <v>37.43</v>
      </c>
      <c r="G88" s="6" t="n">
        <f aca="false">'Delivery Details and calculatio'!$B$29</f>
        <v>49.35</v>
      </c>
      <c r="H88" s="6" t="n">
        <f aca="false">'Delivery Details and calculatio'!$B$30</f>
        <v>61.28</v>
      </c>
    </row>
    <row r="89" customFormat="false" ht="15" hidden="false" customHeight="false" outlineLevel="0" collapsed="false">
      <c r="A89" s="10" t="s">
        <v>145</v>
      </c>
      <c r="B89" s="10" t="n">
        <v>5</v>
      </c>
      <c r="C89" s="10" t="s">
        <v>58</v>
      </c>
      <c r="D89" s="6" t="n">
        <f aca="false">'Delivery Details and calculatio'!$F$26</f>
        <v>32.73</v>
      </c>
      <c r="E89" s="6" t="n">
        <f aca="false">'Delivery Details and calculatio'!$F$27</f>
        <v>41.61</v>
      </c>
      <c r="F89" s="6" t="n">
        <f aca="false">'Delivery Details and calculatio'!$F$28</f>
        <v>59.38</v>
      </c>
      <c r="G89" s="6" t="n">
        <f aca="false">'Delivery Details and calculatio'!$F$29</f>
        <v>77.09</v>
      </c>
      <c r="H89" s="6" t="n">
        <f aca="false">'Delivery Details and calculatio'!$F$30</f>
        <v>94.81</v>
      </c>
    </row>
    <row r="90" customFormat="false" ht="15" hidden="false" customHeight="false" outlineLevel="0" collapsed="false">
      <c r="A90" s="10" t="s">
        <v>146</v>
      </c>
      <c r="B90" s="10" t="n">
        <v>5</v>
      </c>
      <c r="C90" s="10" t="s">
        <v>58</v>
      </c>
      <c r="D90" s="6" t="n">
        <f aca="false">'Delivery Details and calculatio'!$F$26</f>
        <v>32.73</v>
      </c>
      <c r="E90" s="6" t="n">
        <f aca="false">'Delivery Details and calculatio'!$F$27</f>
        <v>41.61</v>
      </c>
      <c r="F90" s="6" t="n">
        <f aca="false">'Delivery Details and calculatio'!$F$28</f>
        <v>59.38</v>
      </c>
      <c r="G90" s="6" t="n">
        <f aca="false">'Delivery Details and calculatio'!$F$29</f>
        <v>77.09</v>
      </c>
      <c r="H90" s="6" t="n">
        <f aca="false">'Delivery Details and calculatio'!$F$30</f>
        <v>94.81</v>
      </c>
    </row>
    <row r="91" customFormat="false" ht="15" hidden="false" customHeight="false" outlineLevel="0" collapsed="false">
      <c r="A91" s="10" t="s">
        <v>147</v>
      </c>
      <c r="B91" s="10" t="n">
        <v>5</v>
      </c>
      <c r="C91" s="10" t="s">
        <v>58</v>
      </c>
      <c r="D91" s="6" t="n">
        <f aca="false">'Delivery Details and calculatio'!$F$26</f>
        <v>32.73</v>
      </c>
      <c r="E91" s="6" t="n">
        <f aca="false">'Delivery Details and calculatio'!$F$27</f>
        <v>41.61</v>
      </c>
      <c r="F91" s="6" t="n">
        <f aca="false">'Delivery Details and calculatio'!$F$28</f>
        <v>59.38</v>
      </c>
      <c r="G91" s="6" t="n">
        <f aca="false">'Delivery Details and calculatio'!$F$29</f>
        <v>77.09</v>
      </c>
      <c r="H91" s="6" t="n">
        <f aca="false">'Delivery Details and calculatio'!$F$30</f>
        <v>94.81</v>
      </c>
    </row>
    <row r="92" customFormat="false" ht="15" hidden="false" customHeight="false" outlineLevel="0" collapsed="false">
      <c r="A92" s="10" t="s">
        <v>148</v>
      </c>
      <c r="B92" s="10" t="n">
        <v>5</v>
      </c>
      <c r="C92" s="10" t="s">
        <v>58</v>
      </c>
      <c r="D92" s="6" t="n">
        <f aca="false">'Delivery Details and calculatio'!$F$26</f>
        <v>32.73</v>
      </c>
      <c r="E92" s="6" t="n">
        <f aca="false">'Delivery Details and calculatio'!$F$27</f>
        <v>41.61</v>
      </c>
      <c r="F92" s="6" t="n">
        <f aca="false">'Delivery Details and calculatio'!$F$28</f>
        <v>59.38</v>
      </c>
      <c r="G92" s="6" t="n">
        <f aca="false">'Delivery Details and calculatio'!$F$29</f>
        <v>77.09</v>
      </c>
      <c r="H92" s="6" t="n">
        <f aca="false">'Delivery Details and calculatio'!$F$30</f>
        <v>94.81</v>
      </c>
    </row>
    <row r="93" customFormat="false" ht="15" hidden="false" customHeight="false" outlineLevel="0" collapsed="false">
      <c r="A93" s="10" t="s">
        <v>149</v>
      </c>
      <c r="B93" s="10" t="n">
        <v>5</v>
      </c>
      <c r="C93" s="10" t="s">
        <v>58</v>
      </c>
      <c r="D93" s="6" t="n">
        <f aca="false">'Delivery Details and calculatio'!$F$26</f>
        <v>32.73</v>
      </c>
      <c r="E93" s="6" t="n">
        <f aca="false">'Delivery Details and calculatio'!$F$27</f>
        <v>41.61</v>
      </c>
      <c r="F93" s="6" t="n">
        <f aca="false">'Delivery Details and calculatio'!$F$28</f>
        <v>59.38</v>
      </c>
      <c r="G93" s="6" t="n">
        <f aca="false">'Delivery Details and calculatio'!$F$29</f>
        <v>77.09</v>
      </c>
      <c r="H93" s="6" t="n">
        <f aca="false">'Delivery Details and calculatio'!$F$30</f>
        <v>94.81</v>
      </c>
    </row>
    <row r="94" customFormat="false" ht="15" hidden="false" customHeight="false" outlineLevel="0" collapsed="false">
      <c r="A94" s="10" t="s">
        <v>150</v>
      </c>
      <c r="B94" s="10" t="n">
        <v>5</v>
      </c>
      <c r="C94" s="10" t="s">
        <v>58</v>
      </c>
      <c r="D94" s="6" t="n">
        <f aca="false">'Delivery Details and calculatio'!$F$26</f>
        <v>32.73</v>
      </c>
      <c r="E94" s="6" t="n">
        <f aca="false">'Delivery Details and calculatio'!$F$27</f>
        <v>41.61</v>
      </c>
      <c r="F94" s="6" t="n">
        <f aca="false">'Delivery Details and calculatio'!$F$28</f>
        <v>59.38</v>
      </c>
      <c r="G94" s="6" t="n">
        <f aca="false">'Delivery Details and calculatio'!$F$29</f>
        <v>77.09</v>
      </c>
      <c r="H94" s="6" t="n">
        <f aca="false">'Delivery Details and calculatio'!$F$30</f>
        <v>94.81</v>
      </c>
    </row>
    <row r="95" customFormat="false" ht="15" hidden="false" customHeight="false" outlineLevel="0" collapsed="false">
      <c r="A95" s="10" t="s">
        <v>151</v>
      </c>
      <c r="B95" s="10" t="n">
        <v>5</v>
      </c>
      <c r="C95" s="10" t="s">
        <v>58</v>
      </c>
      <c r="D95" s="6" t="n">
        <f aca="false">'Delivery Details and calculatio'!$F$26</f>
        <v>32.73</v>
      </c>
      <c r="E95" s="6" t="n">
        <f aca="false">'Delivery Details and calculatio'!$F$27</f>
        <v>41.61</v>
      </c>
      <c r="F95" s="6" t="n">
        <f aca="false">'Delivery Details and calculatio'!$F$28</f>
        <v>59.38</v>
      </c>
      <c r="G95" s="6" t="n">
        <f aca="false">'Delivery Details and calculatio'!$F$29</f>
        <v>77.09</v>
      </c>
      <c r="H95" s="6" t="n">
        <f aca="false">'Delivery Details and calculatio'!$F$30</f>
        <v>94.81</v>
      </c>
    </row>
    <row r="96" customFormat="false" ht="15" hidden="false" customHeight="false" outlineLevel="0" collapsed="false">
      <c r="A96" s="10" t="s">
        <v>152</v>
      </c>
      <c r="B96" s="10" t="n">
        <v>2</v>
      </c>
      <c r="C96" s="10" t="s">
        <v>63</v>
      </c>
      <c r="D96" s="6" t="n">
        <f aca="false">'Delivery Details and calculatio'!$B$26</f>
        <v>19.57</v>
      </c>
      <c r="E96" s="6" t="n">
        <f aca="false">'Delivery Details and calculatio'!$B$27</f>
        <v>25.51</v>
      </c>
      <c r="F96" s="6" t="n">
        <f aca="false">'Delivery Details and calculatio'!$B$28</f>
        <v>37.43</v>
      </c>
      <c r="G96" s="6" t="n">
        <f aca="false">'Delivery Details and calculatio'!$B$29</f>
        <v>49.35</v>
      </c>
      <c r="H96" s="6" t="n">
        <f aca="false">'Delivery Details and calculatio'!$B$30</f>
        <v>61.28</v>
      </c>
    </row>
    <row r="97" customFormat="false" ht="15" hidden="false" customHeight="false" outlineLevel="0" collapsed="false">
      <c r="A97" s="10" t="s">
        <v>153</v>
      </c>
      <c r="B97" s="10" t="n">
        <v>4</v>
      </c>
      <c r="C97" s="10" t="s">
        <v>60</v>
      </c>
      <c r="D97" s="6" t="n">
        <f aca="false">'Delivery Details and calculatio'!$D$26</f>
        <v>26.98</v>
      </c>
      <c r="E97" s="6" t="n">
        <f aca="false">'Delivery Details and calculatio'!$D$27</f>
        <v>33.77</v>
      </c>
      <c r="F97" s="6" t="n">
        <f aca="false">'Delivery Details and calculatio'!$D$28</f>
        <v>47.41</v>
      </c>
      <c r="G97" s="6" t="n">
        <f aca="false">'Delivery Details and calculatio'!$D$29</f>
        <v>60.99</v>
      </c>
      <c r="H97" s="6" t="n">
        <f aca="false">'Delivery Details and calculatio'!$D$30</f>
        <v>74.58</v>
      </c>
    </row>
    <row r="98" customFormat="false" ht="15" hidden="false" customHeight="false" outlineLevel="0" collapsed="false">
      <c r="A98" s="10" t="s">
        <v>154</v>
      </c>
      <c r="B98" s="10" t="n">
        <v>4</v>
      </c>
      <c r="C98" s="10" t="s">
        <v>60</v>
      </c>
      <c r="D98" s="6" t="n">
        <f aca="false">'Delivery Details and calculatio'!$D$26</f>
        <v>26.98</v>
      </c>
      <c r="E98" s="6" t="n">
        <f aca="false">'Delivery Details and calculatio'!$D$27</f>
        <v>33.77</v>
      </c>
      <c r="F98" s="6" t="n">
        <f aca="false">'Delivery Details and calculatio'!$D$28</f>
        <v>47.41</v>
      </c>
      <c r="G98" s="6" t="n">
        <f aca="false">'Delivery Details and calculatio'!$D$29</f>
        <v>60.99</v>
      </c>
      <c r="H98" s="6" t="n">
        <f aca="false">'Delivery Details and calculatio'!$D$30</f>
        <v>74.58</v>
      </c>
    </row>
    <row r="99" customFormat="false" ht="15" hidden="false" customHeight="false" outlineLevel="0" collapsed="false">
      <c r="A99" s="10" t="s">
        <v>155</v>
      </c>
      <c r="B99" s="10" t="n">
        <v>2</v>
      </c>
      <c r="C99" s="10" t="s">
        <v>63</v>
      </c>
      <c r="D99" s="6" t="n">
        <f aca="false">'Delivery Details and calculatio'!$B$26</f>
        <v>19.57</v>
      </c>
      <c r="E99" s="6" t="n">
        <f aca="false">'Delivery Details and calculatio'!$B$27</f>
        <v>25.51</v>
      </c>
      <c r="F99" s="6" t="n">
        <f aca="false">'Delivery Details and calculatio'!$B$28</f>
        <v>37.43</v>
      </c>
      <c r="G99" s="6" t="n">
        <f aca="false">'Delivery Details and calculatio'!$B$29</f>
        <v>49.35</v>
      </c>
      <c r="H99" s="6" t="n">
        <f aca="false">'Delivery Details and calculatio'!$B$30</f>
        <v>61.28</v>
      </c>
    </row>
    <row r="100" customFormat="false" ht="15" hidden="false" customHeight="false" outlineLevel="0" collapsed="false">
      <c r="A100" s="10" t="s">
        <v>156</v>
      </c>
      <c r="B100" s="10" t="n">
        <v>2</v>
      </c>
      <c r="C100" s="10" t="s">
        <v>63</v>
      </c>
      <c r="D100" s="6" t="n">
        <f aca="false">'Delivery Details and calculatio'!$B$26</f>
        <v>19.57</v>
      </c>
      <c r="E100" s="6" t="n">
        <f aca="false">'Delivery Details and calculatio'!$B$27</f>
        <v>25.51</v>
      </c>
      <c r="F100" s="6" t="n">
        <f aca="false">'Delivery Details and calculatio'!$B$28</f>
        <v>37.43</v>
      </c>
      <c r="G100" s="6" t="n">
        <f aca="false">'Delivery Details and calculatio'!$B$29</f>
        <v>49.35</v>
      </c>
      <c r="H100" s="6" t="n">
        <f aca="false">'Delivery Details and calculatio'!$B$30</f>
        <v>61.28</v>
      </c>
    </row>
    <row r="101" customFormat="false" ht="15" hidden="false" customHeight="false" outlineLevel="0" collapsed="false">
      <c r="A101" s="10" t="s">
        <v>157</v>
      </c>
      <c r="B101" s="10" t="n">
        <v>5</v>
      </c>
      <c r="C101" s="10" t="s">
        <v>58</v>
      </c>
      <c r="D101" s="6" t="n">
        <f aca="false">'Delivery Details and calculatio'!$F$26</f>
        <v>32.73</v>
      </c>
      <c r="E101" s="6" t="n">
        <f aca="false">'Delivery Details and calculatio'!$F$27</f>
        <v>41.61</v>
      </c>
      <c r="F101" s="6" t="n">
        <f aca="false">'Delivery Details and calculatio'!$F$28</f>
        <v>59.38</v>
      </c>
      <c r="G101" s="6" t="n">
        <f aca="false">'Delivery Details and calculatio'!$F$29</f>
        <v>77.09</v>
      </c>
      <c r="H101" s="6" t="n">
        <f aca="false">'Delivery Details and calculatio'!$F$30</f>
        <v>94.81</v>
      </c>
    </row>
    <row r="102" customFormat="false" ht="15" hidden="false" customHeight="false" outlineLevel="0" collapsed="false">
      <c r="A102" s="10" t="s">
        <v>158</v>
      </c>
      <c r="B102" s="10" t="n">
        <v>5</v>
      </c>
      <c r="C102" s="10" t="s">
        <v>58</v>
      </c>
      <c r="D102" s="6" t="n">
        <f aca="false">'Delivery Details and calculatio'!$F$26</f>
        <v>32.73</v>
      </c>
      <c r="E102" s="6" t="n">
        <f aca="false">'Delivery Details and calculatio'!$F$27</f>
        <v>41.61</v>
      </c>
      <c r="F102" s="6" t="n">
        <f aca="false">'Delivery Details and calculatio'!$F$28</f>
        <v>59.38</v>
      </c>
      <c r="G102" s="6" t="n">
        <f aca="false">'Delivery Details and calculatio'!$F$29</f>
        <v>77.09</v>
      </c>
      <c r="H102" s="6" t="n">
        <f aca="false">'Delivery Details and calculatio'!$F$30</f>
        <v>94.81</v>
      </c>
    </row>
    <row r="103" customFormat="false" ht="15" hidden="false" customHeight="false" outlineLevel="0" collapsed="false">
      <c r="A103" s="10" t="s">
        <v>159</v>
      </c>
      <c r="B103" s="10" t="n">
        <v>4</v>
      </c>
      <c r="C103" s="10" t="s">
        <v>160</v>
      </c>
      <c r="D103" s="6" t="n">
        <f aca="false">'Delivery Details and calculatio'!$E$17</f>
        <v>26.98</v>
      </c>
      <c r="E103" s="6" t="n">
        <f aca="false">'Delivery Details and calculatio'!$E$18</f>
        <v>33.77</v>
      </c>
      <c r="F103" s="6" t="n">
        <f aca="false">'Delivery Details and calculatio'!$E$19</f>
        <v>47.41</v>
      </c>
      <c r="G103" s="6" t="n">
        <f aca="false">'Delivery Details and calculatio'!$E$20</f>
        <v>60.99</v>
      </c>
      <c r="H103" s="6" t="n">
        <f aca="false">'Delivery Details and calculatio'!$E$21</f>
        <v>74.58</v>
      </c>
    </row>
    <row r="104" customFormat="false" ht="15" hidden="false" customHeight="false" outlineLevel="0" collapsed="false">
      <c r="A104" s="10" t="s">
        <v>161</v>
      </c>
      <c r="B104" s="10" t="n">
        <v>5</v>
      </c>
      <c r="C104" s="10" t="s">
        <v>58</v>
      </c>
      <c r="D104" s="6" t="n">
        <f aca="false">'Delivery Details and calculatio'!$F$26</f>
        <v>32.73</v>
      </c>
      <c r="E104" s="6" t="n">
        <f aca="false">'Delivery Details and calculatio'!$F$27</f>
        <v>41.61</v>
      </c>
      <c r="F104" s="6" t="n">
        <f aca="false">'Delivery Details and calculatio'!$F$28</f>
        <v>59.38</v>
      </c>
      <c r="G104" s="6" t="n">
        <f aca="false">'Delivery Details and calculatio'!$F$29</f>
        <v>77.09</v>
      </c>
      <c r="H104" s="6" t="n">
        <f aca="false">'Delivery Details and calculatio'!$F$30</f>
        <v>94.81</v>
      </c>
    </row>
    <row r="105" customFormat="false" ht="15" hidden="false" customHeight="false" outlineLevel="0" collapsed="false">
      <c r="A105" s="10" t="s">
        <v>162</v>
      </c>
      <c r="B105" s="10" t="n">
        <v>4</v>
      </c>
      <c r="C105" s="10" t="s">
        <v>60</v>
      </c>
      <c r="D105" s="6" t="n">
        <f aca="false">'Delivery Details and calculatio'!$D$26</f>
        <v>26.98</v>
      </c>
      <c r="E105" s="6" t="n">
        <f aca="false">'Delivery Details and calculatio'!$D$27</f>
        <v>33.77</v>
      </c>
      <c r="F105" s="6" t="n">
        <f aca="false">'Delivery Details and calculatio'!$D$28</f>
        <v>47.41</v>
      </c>
      <c r="G105" s="6" t="n">
        <f aca="false">'Delivery Details and calculatio'!$D$29</f>
        <v>60.99</v>
      </c>
      <c r="H105" s="6" t="n">
        <f aca="false">'Delivery Details and calculatio'!$D$30</f>
        <v>74.58</v>
      </c>
    </row>
    <row r="106" customFormat="false" ht="15" hidden="false" customHeight="false" outlineLevel="0" collapsed="false">
      <c r="A106" s="10" t="s">
        <v>163</v>
      </c>
      <c r="B106" s="10" t="n">
        <v>5</v>
      </c>
      <c r="C106" s="10" t="s">
        <v>58</v>
      </c>
      <c r="D106" s="6" t="n">
        <f aca="false">'Delivery Details and calculatio'!$F$26</f>
        <v>32.73</v>
      </c>
      <c r="E106" s="6" t="n">
        <f aca="false">'Delivery Details and calculatio'!$F$27</f>
        <v>41.61</v>
      </c>
      <c r="F106" s="6" t="n">
        <f aca="false">'Delivery Details and calculatio'!$F$28</f>
        <v>59.38</v>
      </c>
      <c r="G106" s="6" t="n">
        <f aca="false">'Delivery Details and calculatio'!$F$29</f>
        <v>77.09</v>
      </c>
      <c r="H106" s="6" t="n">
        <f aca="false">'Delivery Details and calculatio'!$F$30</f>
        <v>94.81</v>
      </c>
    </row>
    <row r="107" customFormat="false" ht="15" hidden="false" customHeight="false" outlineLevel="0" collapsed="false">
      <c r="A107" s="10" t="s">
        <v>164</v>
      </c>
      <c r="B107" s="10" t="n">
        <v>2</v>
      </c>
      <c r="C107" s="10" t="s">
        <v>63</v>
      </c>
      <c r="D107" s="6" t="n">
        <f aca="false">'Delivery Details and calculatio'!$B$26</f>
        <v>19.57</v>
      </c>
      <c r="E107" s="6" t="n">
        <f aca="false">'Delivery Details and calculatio'!$B$27</f>
        <v>25.51</v>
      </c>
      <c r="F107" s="6" t="n">
        <f aca="false">'Delivery Details and calculatio'!$B$28</f>
        <v>37.43</v>
      </c>
      <c r="G107" s="6" t="n">
        <f aca="false">'Delivery Details and calculatio'!$B$29</f>
        <v>49.35</v>
      </c>
      <c r="H107" s="6" t="n">
        <f aca="false">'Delivery Details and calculatio'!$B$30</f>
        <v>61.28</v>
      </c>
    </row>
    <row r="108" customFormat="false" ht="15" hidden="false" customHeight="false" outlineLevel="0" collapsed="false">
      <c r="A108" s="10" t="s">
        <v>165</v>
      </c>
      <c r="B108" s="10" t="n">
        <v>5</v>
      </c>
      <c r="C108" s="10" t="s">
        <v>58</v>
      </c>
      <c r="D108" s="6" t="n">
        <f aca="false">'Delivery Details and calculatio'!$F$26</f>
        <v>32.73</v>
      </c>
      <c r="E108" s="6" t="n">
        <f aca="false">'Delivery Details and calculatio'!$F$27</f>
        <v>41.61</v>
      </c>
      <c r="F108" s="6" t="n">
        <f aca="false">'Delivery Details and calculatio'!$F$28</f>
        <v>59.38</v>
      </c>
      <c r="G108" s="6" t="n">
        <f aca="false">'Delivery Details and calculatio'!$F$29</f>
        <v>77.09</v>
      </c>
      <c r="H108" s="6" t="n">
        <f aca="false">'Delivery Details and calculatio'!$F$30</f>
        <v>94.81</v>
      </c>
    </row>
    <row r="109" customFormat="false" ht="15" hidden="false" customHeight="false" outlineLevel="0" collapsed="false">
      <c r="A109" s="10" t="s">
        <v>166</v>
      </c>
      <c r="B109" s="10" t="n">
        <v>5</v>
      </c>
      <c r="C109" s="10" t="s">
        <v>58</v>
      </c>
      <c r="D109" s="6" t="n">
        <f aca="false">'Delivery Details and calculatio'!$F$26</f>
        <v>32.73</v>
      </c>
      <c r="E109" s="6" t="n">
        <f aca="false">'Delivery Details and calculatio'!$F$27</f>
        <v>41.61</v>
      </c>
      <c r="F109" s="6" t="n">
        <f aca="false">'Delivery Details and calculatio'!$F$28</f>
        <v>59.38</v>
      </c>
      <c r="G109" s="6" t="n">
        <f aca="false">'Delivery Details and calculatio'!$F$29</f>
        <v>77.09</v>
      </c>
      <c r="H109" s="6" t="n">
        <f aca="false">'Delivery Details and calculatio'!$F$30</f>
        <v>94.81</v>
      </c>
    </row>
    <row r="110" customFormat="false" ht="15" hidden="false" customHeight="false" outlineLevel="0" collapsed="false">
      <c r="A110" s="10" t="s">
        <v>167</v>
      </c>
      <c r="B110" s="10" t="n">
        <v>5</v>
      </c>
      <c r="C110" s="10" t="s">
        <v>58</v>
      </c>
      <c r="D110" s="6" t="n">
        <f aca="false">'Delivery Details and calculatio'!$F$26</f>
        <v>32.73</v>
      </c>
      <c r="E110" s="6" t="n">
        <f aca="false">'Delivery Details and calculatio'!$F$27</f>
        <v>41.61</v>
      </c>
      <c r="F110" s="6" t="n">
        <f aca="false">'Delivery Details and calculatio'!$F$28</f>
        <v>59.38</v>
      </c>
      <c r="G110" s="6" t="n">
        <f aca="false">'Delivery Details and calculatio'!$F$29</f>
        <v>77.09</v>
      </c>
      <c r="H110" s="6" t="n">
        <f aca="false">'Delivery Details and calculatio'!$F$30</f>
        <v>94.81</v>
      </c>
    </row>
    <row r="111" customFormat="false" ht="15" hidden="false" customHeight="false" outlineLevel="0" collapsed="false">
      <c r="A111" s="10" t="s">
        <v>168</v>
      </c>
      <c r="B111" s="10" t="n">
        <v>2</v>
      </c>
      <c r="C111" s="10" t="s">
        <v>63</v>
      </c>
      <c r="D111" s="6" t="n">
        <f aca="false">'Delivery Details and calculatio'!$B$26</f>
        <v>19.57</v>
      </c>
      <c r="E111" s="6" t="n">
        <f aca="false">'Delivery Details and calculatio'!$B$27</f>
        <v>25.51</v>
      </c>
      <c r="F111" s="6" t="n">
        <f aca="false">'Delivery Details and calculatio'!$B$28</f>
        <v>37.43</v>
      </c>
      <c r="G111" s="6" t="n">
        <f aca="false">'Delivery Details and calculatio'!$B$29</f>
        <v>49.35</v>
      </c>
      <c r="H111" s="6" t="n">
        <f aca="false">'Delivery Details and calculatio'!$B$30</f>
        <v>61.28</v>
      </c>
    </row>
    <row r="112" customFormat="false" ht="15" hidden="false" customHeight="false" outlineLevel="0" collapsed="false">
      <c r="A112" s="10" t="s">
        <v>169</v>
      </c>
      <c r="B112" s="10" t="n">
        <v>4</v>
      </c>
      <c r="C112" s="10" t="s">
        <v>60</v>
      </c>
      <c r="D112" s="6" t="n">
        <f aca="false">'Delivery Details and calculatio'!$D$26</f>
        <v>26.98</v>
      </c>
      <c r="E112" s="6" t="n">
        <f aca="false">'Delivery Details and calculatio'!$D$27</f>
        <v>33.77</v>
      </c>
      <c r="F112" s="6" t="n">
        <f aca="false">'Delivery Details and calculatio'!$D$28</f>
        <v>47.41</v>
      </c>
      <c r="G112" s="6" t="n">
        <f aca="false">'Delivery Details and calculatio'!$D$29</f>
        <v>60.99</v>
      </c>
      <c r="H112" s="6" t="n">
        <f aca="false">'Delivery Details and calculatio'!$D$30</f>
        <v>74.58</v>
      </c>
    </row>
    <row r="113" customFormat="false" ht="15" hidden="false" customHeight="false" outlineLevel="0" collapsed="false">
      <c r="A113" s="10" t="s">
        <v>170</v>
      </c>
      <c r="B113" s="10" t="n">
        <v>5</v>
      </c>
      <c r="C113" s="10" t="s">
        <v>58</v>
      </c>
      <c r="D113" s="6" t="n">
        <f aca="false">'Delivery Details and calculatio'!$F$26</f>
        <v>32.73</v>
      </c>
      <c r="E113" s="6" t="n">
        <f aca="false">'Delivery Details and calculatio'!$F$27</f>
        <v>41.61</v>
      </c>
      <c r="F113" s="6" t="n">
        <f aca="false">'Delivery Details and calculatio'!$F$28</f>
        <v>59.38</v>
      </c>
      <c r="G113" s="6" t="n">
        <f aca="false">'Delivery Details and calculatio'!$F$29</f>
        <v>77.09</v>
      </c>
      <c r="H113" s="6" t="n">
        <f aca="false">'Delivery Details and calculatio'!$F$30</f>
        <v>94.81</v>
      </c>
    </row>
    <row r="114" customFormat="false" ht="15" hidden="false" customHeight="false" outlineLevel="0" collapsed="false">
      <c r="A114" s="10" t="s">
        <v>171</v>
      </c>
      <c r="B114" s="10" t="n">
        <v>5</v>
      </c>
      <c r="C114" s="10" t="s">
        <v>58</v>
      </c>
      <c r="D114" s="6" t="n">
        <f aca="false">'Delivery Details and calculatio'!$F$26</f>
        <v>32.73</v>
      </c>
      <c r="E114" s="6" t="n">
        <f aca="false">'Delivery Details and calculatio'!$F$27</f>
        <v>41.61</v>
      </c>
      <c r="F114" s="6" t="n">
        <f aca="false">'Delivery Details and calculatio'!$F$28</f>
        <v>59.38</v>
      </c>
      <c r="G114" s="6" t="n">
        <f aca="false">'Delivery Details and calculatio'!$F$29</f>
        <v>77.09</v>
      </c>
      <c r="H114" s="6" t="n">
        <f aca="false">'Delivery Details and calculatio'!$F$30</f>
        <v>94.81</v>
      </c>
    </row>
    <row r="115" customFormat="false" ht="15" hidden="false" customHeight="false" outlineLevel="0" collapsed="false">
      <c r="A115" s="10" t="s">
        <v>172</v>
      </c>
      <c r="B115" s="10" t="n">
        <v>2</v>
      </c>
      <c r="C115" s="10" t="s">
        <v>63</v>
      </c>
      <c r="D115" s="6" t="n">
        <f aca="false">'Delivery Details and calculatio'!$B$26</f>
        <v>19.57</v>
      </c>
      <c r="E115" s="6" t="n">
        <f aca="false">'Delivery Details and calculatio'!$B$27</f>
        <v>25.51</v>
      </c>
      <c r="F115" s="6" t="n">
        <f aca="false">'Delivery Details and calculatio'!$B$28</f>
        <v>37.43</v>
      </c>
      <c r="G115" s="6" t="n">
        <f aca="false">'Delivery Details and calculatio'!$B$29</f>
        <v>49.35</v>
      </c>
      <c r="H115" s="6" t="n">
        <f aca="false">'Delivery Details and calculatio'!$B$30</f>
        <v>61.28</v>
      </c>
    </row>
    <row r="116" customFormat="false" ht="15" hidden="false" customHeight="false" outlineLevel="0" collapsed="false">
      <c r="A116" s="10" t="s">
        <v>173</v>
      </c>
      <c r="B116" s="10" t="n">
        <v>5</v>
      </c>
      <c r="C116" s="10" t="s">
        <v>58</v>
      </c>
      <c r="D116" s="6" t="n">
        <f aca="false">'Delivery Details and calculatio'!$F$26</f>
        <v>32.73</v>
      </c>
      <c r="E116" s="6" t="n">
        <f aca="false">'Delivery Details and calculatio'!$F$27</f>
        <v>41.61</v>
      </c>
      <c r="F116" s="6" t="n">
        <f aca="false">'Delivery Details and calculatio'!$F$28</f>
        <v>59.38</v>
      </c>
      <c r="G116" s="6" t="n">
        <f aca="false">'Delivery Details and calculatio'!$F$29</f>
        <v>77.09</v>
      </c>
      <c r="H116" s="6" t="n">
        <f aca="false">'Delivery Details and calculatio'!$F$30</f>
        <v>94.81</v>
      </c>
    </row>
    <row r="117" customFormat="false" ht="15" hidden="false" customHeight="false" outlineLevel="0" collapsed="false">
      <c r="A117" s="10" t="s">
        <v>174</v>
      </c>
      <c r="B117" s="10" t="n">
        <v>5</v>
      </c>
      <c r="C117" s="10" t="s">
        <v>58</v>
      </c>
      <c r="D117" s="6" t="n">
        <f aca="false">'Delivery Details and calculatio'!$F$26</f>
        <v>32.73</v>
      </c>
      <c r="E117" s="6" t="n">
        <f aca="false">'Delivery Details and calculatio'!$F$27</f>
        <v>41.61</v>
      </c>
      <c r="F117" s="6" t="n">
        <f aca="false">'Delivery Details and calculatio'!$F$28</f>
        <v>59.38</v>
      </c>
      <c r="G117" s="6" t="n">
        <f aca="false">'Delivery Details and calculatio'!$F$29</f>
        <v>77.09</v>
      </c>
      <c r="H117" s="6" t="n">
        <f aca="false">'Delivery Details and calculatio'!$F$30</f>
        <v>94.81</v>
      </c>
    </row>
    <row r="118" customFormat="false" ht="15" hidden="false" customHeight="false" outlineLevel="0" collapsed="false">
      <c r="A118" s="10" t="s">
        <v>175</v>
      </c>
      <c r="B118" s="10" t="n">
        <v>5</v>
      </c>
      <c r="C118" s="10" t="s">
        <v>58</v>
      </c>
      <c r="D118" s="6" t="n">
        <f aca="false">'Delivery Details and calculatio'!$F$26</f>
        <v>32.73</v>
      </c>
      <c r="E118" s="6" t="n">
        <f aca="false">'Delivery Details and calculatio'!$F$27</f>
        <v>41.61</v>
      </c>
      <c r="F118" s="6" t="n">
        <f aca="false">'Delivery Details and calculatio'!$F$28</f>
        <v>59.38</v>
      </c>
      <c r="G118" s="6" t="n">
        <f aca="false">'Delivery Details and calculatio'!$F$29</f>
        <v>77.09</v>
      </c>
      <c r="H118" s="6" t="n">
        <f aca="false">'Delivery Details and calculatio'!$F$30</f>
        <v>94.81</v>
      </c>
    </row>
    <row r="119" customFormat="false" ht="15" hidden="false" customHeight="false" outlineLevel="0" collapsed="false">
      <c r="A119" s="10" t="s">
        <v>176</v>
      </c>
      <c r="B119" s="10" t="n">
        <v>5</v>
      </c>
      <c r="C119" s="10" t="s">
        <v>58</v>
      </c>
      <c r="D119" s="6" t="n">
        <f aca="false">'Delivery Details and calculatio'!$F$26</f>
        <v>32.73</v>
      </c>
      <c r="E119" s="6" t="n">
        <f aca="false">'Delivery Details and calculatio'!$F$27</f>
        <v>41.61</v>
      </c>
      <c r="F119" s="6" t="n">
        <f aca="false">'Delivery Details and calculatio'!$F$28</f>
        <v>59.38</v>
      </c>
      <c r="G119" s="6" t="n">
        <f aca="false">'Delivery Details and calculatio'!$F$29</f>
        <v>77.09</v>
      </c>
      <c r="H119" s="6" t="n">
        <f aca="false">'Delivery Details and calculatio'!$F$30</f>
        <v>94.81</v>
      </c>
    </row>
    <row r="120" customFormat="false" ht="15" hidden="false" customHeight="false" outlineLevel="0" collapsed="false">
      <c r="A120" s="10" t="s">
        <v>177</v>
      </c>
      <c r="B120" s="10" t="n">
        <v>5</v>
      </c>
      <c r="C120" s="10" t="s">
        <v>58</v>
      </c>
      <c r="D120" s="6" t="n">
        <f aca="false">'Delivery Details and calculatio'!$F$26</f>
        <v>32.73</v>
      </c>
      <c r="E120" s="6" t="n">
        <f aca="false">'Delivery Details and calculatio'!$F$27</f>
        <v>41.61</v>
      </c>
      <c r="F120" s="6" t="n">
        <f aca="false">'Delivery Details and calculatio'!$F$28</f>
        <v>59.38</v>
      </c>
      <c r="G120" s="6" t="n">
        <f aca="false">'Delivery Details and calculatio'!$F$29</f>
        <v>77.09</v>
      </c>
      <c r="H120" s="6" t="n">
        <f aca="false">'Delivery Details and calculatio'!$F$30</f>
        <v>94.81</v>
      </c>
    </row>
    <row r="121" customFormat="false" ht="15" hidden="false" customHeight="false" outlineLevel="0" collapsed="false">
      <c r="A121" s="10" t="s">
        <v>178</v>
      </c>
      <c r="B121" s="10" t="n">
        <v>5</v>
      </c>
      <c r="C121" s="10" t="s">
        <v>58</v>
      </c>
      <c r="D121" s="6" t="n">
        <f aca="false">'Delivery Details and calculatio'!$F$26</f>
        <v>32.73</v>
      </c>
      <c r="E121" s="6" t="n">
        <f aca="false">'Delivery Details and calculatio'!$F$27</f>
        <v>41.61</v>
      </c>
      <c r="F121" s="6" t="n">
        <f aca="false">'Delivery Details and calculatio'!$F$28</f>
        <v>59.38</v>
      </c>
      <c r="G121" s="6" t="n">
        <f aca="false">'Delivery Details and calculatio'!$F$29</f>
        <v>77.09</v>
      </c>
      <c r="H121" s="6" t="n">
        <f aca="false">'Delivery Details and calculatio'!$F$30</f>
        <v>94.81</v>
      </c>
    </row>
    <row r="122" customFormat="false" ht="15" hidden="false" customHeight="false" outlineLevel="0" collapsed="false">
      <c r="A122" s="10" t="s">
        <v>179</v>
      </c>
      <c r="B122" s="10" t="n">
        <v>5</v>
      </c>
      <c r="C122" s="10" t="s">
        <v>58</v>
      </c>
      <c r="D122" s="6" t="n">
        <f aca="false">'Delivery Details and calculatio'!$F$26</f>
        <v>32.73</v>
      </c>
      <c r="E122" s="6" t="n">
        <f aca="false">'Delivery Details and calculatio'!$F$27</f>
        <v>41.61</v>
      </c>
      <c r="F122" s="6" t="n">
        <f aca="false">'Delivery Details and calculatio'!$F$28</f>
        <v>59.38</v>
      </c>
      <c r="G122" s="6" t="n">
        <f aca="false">'Delivery Details and calculatio'!$F$29</f>
        <v>77.09</v>
      </c>
      <c r="H122" s="6" t="n">
        <f aca="false">'Delivery Details and calculatio'!$F$30</f>
        <v>94.81</v>
      </c>
    </row>
    <row r="123" customFormat="false" ht="15" hidden="false" customHeight="false" outlineLevel="0" collapsed="false">
      <c r="A123" s="10" t="s">
        <v>180</v>
      </c>
      <c r="B123" s="10" t="n">
        <v>5</v>
      </c>
      <c r="C123" s="10" t="s">
        <v>58</v>
      </c>
      <c r="D123" s="6" t="n">
        <f aca="false">'Delivery Details and calculatio'!$F$26</f>
        <v>32.73</v>
      </c>
      <c r="E123" s="6" t="n">
        <f aca="false">'Delivery Details and calculatio'!$F$27</f>
        <v>41.61</v>
      </c>
      <c r="F123" s="6" t="n">
        <f aca="false">'Delivery Details and calculatio'!$F$28</f>
        <v>59.38</v>
      </c>
      <c r="G123" s="6" t="n">
        <f aca="false">'Delivery Details and calculatio'!$F$29</f>
        <v>77.09</v>
      </c>
      <c r="H123" s="6" t="n">
        <f aca="false">'Delivery Details and calculatio'!$F$30</f>
        <v>94.81</v>
      </c>
    </row>
    <row r="124" customFormat="false" ht="15" hidden="false" customHeight="false" outlineLevel="0" collapsed="false">
      <c r="A124" s="10" t="s">
        <v>181</v>
      </c>
      <c r="B124" s="10" t="n">
        <v>2</v>
      </c>
      <c r="C124" s="10" t="s">
        <v>63</v>
      </c>
      <c r="D124" s="6" t="n">
        <f aca="false">'Delivery Details and calculatio'!$B$26</f>
        <v>19.57</v>
      </c>
      <c r="E124" s="6" t="n">
        <f aca="false">'Delivery Details and calculatio'!$B$27</f>
        <v>25.51</v>
      </c>
      <c r="F124" s="6" t="n">
        <f aca="false">'Delivery Details and calculatio'!$B$28</f>
        <v>37.43</v>
      </c>
      <c r="G124" s="6" t="n">
        <f aca="false">'Delivery Details and calculatio'!$B$29</f>
        <v>49.35</v>
      </c>
      <c r="H124" s="6" t="n">
        <f aca="false">'Delivery Details and calculatio'!$B$30</f>
        <v>61.28</v>
      </c>
    </row>
    <row r="125" customFormat="false" ht="15" hidden="false" customHeight="false" outlineLevel="0" collapsed="false">
      <c r="A125" s="10" t="s">
        <v>182</v>
      </c>
      <c r="B125" s="10" t="n">
        <v>5</v>
      </c>
      <c r="C125" s="10" t="s">
        <v>58</v>
      </c>
      <c r="D125" s="6" t="n">
        <f aca="false">'Delivery Details and calculatio'!$F$26</f>
        <v>32.73</v>
      </c>
      <c r="E125" s="6" t="n">
        <f aca="false">'Delivery Details and calculatio'!$F$27</f>
        <v>41.61</v>
      </c>
      <c r="F125" s="6" t="n">
        <f aca="false">'Delivery Details and calculatio'!$F$28</f>
        <v>59.38</v>
      </c>
      <c r="G125" s="6" t="n">
        <f aca="false">'Delivery Details and calculatio'!$F$29</f>
        <v>77.09</v>
      </c>
      <c r="H125" s="6" t="n">
        <f aca="false">'Delivery Details and calculatio'!$F$30</f>
        <v>94.81</v>
      </c>
    </row>
    <row r="126" customFormat="false" ht="15" hidden="false" customHeight="false" outlineLevel="0" collapsed="false">
      <c r="A126" s="10" t="s">
        <v>183</v>
      </c>
      <c r="B126" s="10" t="n">
        <v>5</v>
      </c>
      <c r="C126" s="10" t="s">
        <v>58</v>
      </c>
      <c r="D126" s="6" t="n">
        <f aca="false">'Delivery Details and calculatio'!$F$26</f>
        <v>32.73</v>
      </c>
      <c r="E126" s="6" t="n">
        <f aca="false">'Delivery Details and calculatio'!$F$27</f>
        <v>41.61</v>
      </c>
      <c r="F126" s="6" t="n">
        <f aca="false">'Delivery Details and calculatio'!$F$28</f>
        <v>59.38</v>
      </c>
      <c r="G126" s="6" t="n">
        <f aca="false">'Delivery Details and calculatio'!$F$29</f>
        <v>77.09</v>
      </c>
      <c r="H126" s="6" t="n">
        <f aca="false">'Delivery Details and calculatio'!$F$30</f>
        <v>94.81</v>
      </c>
    </row>
    <row r="127" customFormat="false" ht="15" hidden="false" customHeight="false" outlineLevel="0" collapsed="false">
      <c r="A127" s="10" t="s">
        <v>184</v>
      </c>
      <c r="B127" s="10" t="n">
        <v>2</v>
      </c>
      <c r="C127" s="10" t="s">
        <v>63</v>
      </c>
      <c r="D127" s="6" t="n">
        <f aca="false">'Delivery Details and calculatio'!$B$26</f>
        <v>19.57</v>
      </c>
      <c r="E127" s="6" t="n">
        <f aca="false">'Delivery Details and calculatio'!$B$27</f>
        <v>25.51</v>
      </c>
      <c r="F127" s="6" t="n">
        <f aca="false">'Delivery Details and calculatio'!$B$28</f>
        <v>37.43</v>
      </c>
      <c r="G127" s="6" t="n">
        <f aca="false">'Delivery Details and calculatio'!$B$29</f>
        <v>49.35</v>
      </c>
      <c r="H127" s="6" t="n">
        <f aca="false">'Delivery Details and calculatio'!$B$30</f>
        <v>61.28</v>
      </c>
    </row>
    <row r="128" customFormat="false" ht="15" hidden="false" customHeight="false" outlineLevel="0" collapsed="false">
      <c r="A128" s="10" t="s">
        <v>185</v>
      </c>
      <c r="B128" s="10" t="n">
        <v>2</v>
      </c>
      <c r="C128" s="10" t="s">
        <v>63</v>
      </c>
      <c r="D128" s="6" t="n">
        <f aca="false">'Delivery Details and calculatio'!$B$26</f>
        <v>19.57</v>
      </c>
      <c r="E128" s="6" t="n">
        <f aca="false">'Delivery Details and calculatio'!$B$27</f>
        <v>25.51</v>
      </c>
      <c r="F128" s="6" t="n">
        <f aca="false">'Delivery Details and calculatio'!$B$28</f>
        <v>37.43</v>
      </c>
      <c r="G128" s="6" t="n">
        <f aca="false">'Delivery Details and calculatio'!$B$29</f>
        <v>49.35</v>
      </c>
      <c r="H128" s="6" t="n">
        <f aca="false">'Delivery Details and calculatio'!$B$30</f>
        <v>61.28</v>
      </c>
    </row>
    <row r="129" customFormat="false" ht="15" hidden="false" customHeight="false" outlineLevel="0" collapsed="false">
      <c r="A129" s="10" t="s">
        <v>186</v>
      </c>
      <c r="B129" s="10" t="n">
        <v>5</v>
      </c>
      <c r="C129" s="10" t="s">
        <v>58</v>
      </c>
      <c r="D129" s="6" t="n">
        <f aca="false">'Delivery Details and calculatio'!$F$26</f>
        <v>32.73</v>
      </c>
      <c r="E129" s="6" t="n">
        <f aca="false">'Delivery Details and calculatio'!$F$27</f>
        <v>41.61</v>
      </c>
      <c r="F129" s="6" t="n">
        <f aca="false">'Delivery Details and calculatio'!$F$28</f>
        <v>59.38</v>
      </c>
      <c r="G129" s="6" t="n">
        <f aca="false">'Delivery Details and calculatio'!$F$29</f>
        <v>77.09</v>
      </c>
      <c r="H129" s="6" t="n">
        <f aca="false">'Delivery Details and calculatio'!$F$30</f>
        <v>94.81</v>
      </c>
    </row>
    <row r="130" customFormat="false" ht="15" hidden="false" customHeight="false" outlineLevel="0" collapsed="false">
      <c r="A130" s="10" t="s">
        <v>187</v>
      </c>
      <c r="B130" s="10" t="n">
        <v>4</v>
      </c>
      <c r="C130" s="10" t="s">
        <v>60</v>
      </c>
      <c r="D130" s="6" t="n">
        <f aca="false">'Delivery Details and calculatio'!$D$26</f>
        <v>26.98</v>
      </c>
      <c r="E130" s="6" t="n">
        <f aca="false">'Delivery Details and calculatio'!$D$27</f>
        <v>33.77</v>
      </c>
      <c r="F130" s="6" t="n">
        <f aca="false">'Delivery Details and calculatio'!$D$28</f>
        <v>47.41</v>
      </c>
      <c r="G130" s="6" t="n">
        <f aca="false">'Delivery Details and calculatio'!$D$29</f>
        <v>60.99</v>
      </c>
      <c r="H130" s="6" t="n">
        <f aca="false">'Delivery Details and calculatio'!$D$30</f>
        <v>74.58</v>
      </c>
    </row>
    <row r="131" customFormat="false" ht="15" hidden="false" customHeight="false" outlineLevel="0" collapsed="false">
      <c r="A131" s="10" t="s">
        <v>188</v>
      </c>
      <c r="B131" s="10" t="n">
        <v>2</v>
      </c>
      <c r="C131" s="10" t="s">
        <v>63</v>
      </c>
      <c r="D131" s="6" t="n">
        <f aca="false">'Delivery Details and calculatio'!$B$26</f>
        <v>19.57</v>
      </c>
      <c r="E131" s="6" t="n">
        <f aca="false">'Delivery Details and calculatio'!$B$27</f>
        <v>25.51</v>
      </c>
      <c r="F131" s="6" t="n">
        <f aca="false">'Delivery Details and calculatio'!$B$28</f>
        <v>37.43</v>
      </c>
      <c r="G131" s="6" t="n">
        <f aca="false">'Delivery Details and calculatio'!$B$29</f>
        <v>49.35</v>
      </c>
      <c r="H131" s="6" t="n">
        <f aca="false">'Delivery Details and calculatio'!$B$30</f>
        <v>61.28</v>
      </c>
    </row>
    <row r="132" customFormat="false" ht="15" hidden="false" customHeight="false" outlineLevel="0" collapsed="false">
      <c r="A132" s="10" t="s">
        <v>189</v>
      </c>
      <c r="B132" s="10" t="n">
        <v>5</v>
      </c>
      <c r="C132" s="10" t="s">
        <v>58</v>
      </c>
      <c r="D132" s="6" t="n">
        <f aca="false">'Delivery Details and calculatio'!$F$26</f>
        <v>32.73</v>
      </c>
      <c r="E132" s="6" t="n">
        <f aca="false">'Delivery Details and calculatio'!$F$27</f>
        <v>41.61</v>
      </c>
      <c r="F132" s="6" t="n">
        <f aca="false">'Delivery Details and calculatio'!$F$28</f>
        <v>59.38</v>
      </c>
      <c r="G132" s="6" t="n">
        <f aca="false">'Delivery Details and calculatio'!$F$29</f>
        <v>77.09</v>
      </c>
      <c r="H132" s="6" t="n">
        <f aca="false">'Delivery Details and calculatio'!$F$30</f>
        <v>94.81</v>
      </c>
    </row>
    <row r="133" customFormat="false" ht="15" hidden="false" customHeight="false" outlineLevel="0" collapsed="false">
      <c r="A133" s="10" t="s">
        <v>190</v>
      </c>
      <c r="B133" s="10" t="n">
        <v>5</v>
      </c>
      <c r="C133" s="10" t="s">
        <v>58</v>
      </c>
      <c r="D133" s="6" t="n">
        <f aca="false">'Delivery Details and calculatio'!$F$26</f>
        <v>32.73</v>
      </c>
      <c r="E133" s="6" t="n">
        <f aca="false">'Delivery Details and calculatio'!$F$27</f>
        <v>41.61</v>
      </c>
      <c r="F133" s="6" t="n">
        <f aca="false">'Delivery Details and calculatio'!$F$28</f>
        <v>59.38</v>
      </c>
      <c r="G133" s="6" t="n">
        <f aca="false">'Delivery Details and calculatio'!$F$29</f>
        <v>77.09</v>
      </c>
      <c r="H133" s="6" t="n">
        <f aca="false">'Delivery Details and calculatio'!$F$30</f>
        <v>94.81</v>
      </c>
    </row>
    <row r="134" customFormat="false" ht="15" hidden="false" customHeight="false" outlineLevel="0" collapsed="false">
      <c r="A134" s="10" t="s">
        <v>191</v>
      </c>
      <c r="B134" s="10" t="n">
        <v>5</v>
      </c>
      <c r="C134" s="10" t="s">
        <v>58</v>
      </c>
      <c r="D134" s="6" t="n">
        <f aca="false">'Delivery Details and calculatio'!$F$26</f>
        <v>32.73</v>
      </c>
      <c r="E134" s="6" t="n">
        <f aca="false">'Delivery Details and calculatio'!$F$27</f>
        <v>41.61</v>
      </c>
      <c r="F134" s="6" t="n">
        <f aca="false">'Delivery Details and calculatio'!$F$28</f>
        <v>59.38</v>
      </c>
      <c r="G134" s="6" t="n">
        <f aca="false">'Delivery Details and calculatio'!$F$29</f>
        <v>77.09</v>
      </c>
      <c r="H134" s="6" t="n">
        <f aca="false">'Delivery Details and calculatio'!$F$30</f>
        <v>94.81</v>
      </c>
    </row>
    <row r="135" customFormat="false" ht="15" hidden="false" customHeight="false" outlineLevel="0" collapsed="false">
      <c r="A135" s="10" t="s">
        <v>192</v>
      </c>
      <c r="B135" s="10" t="n">
        <v>5</v>
      </c>
      <c r="C135" s="10" t="s">
        <v>58</v>
      </c>
      <c r="D135" s="6" t="n">
        <f aca="false">'Delivery Details and calculatio'!$F$26</f>
        <v>32.73</v>
      </c>
      <c r="E135" s="6" t="n">
        <f aca="false">'Delivery Details and calculatio'!$F$27</f>
        <v>41.61</v>
      </c>
      <c r="F135" s="6" t="n">
        <f aca="false">'Delivery Details and calculatio'!$F$28</f>
        <v>59.38</v>
      </c>
      <c r="G135" s="6" t="n">
        <f aca="false">'Delivery Details and calculatio'!$F$29</f>
        <v>77.09</v>
      </c>
      <c r="H135" s="6" t="n">
        <f aca="false">'Delivery Details and calculatio'!$F$30</f>
        <v>94.81</v>
      </c>
    </row>
    <row r="136" customFormat="false" ht="15" hidden="false" customHeight="false" outlineLevel="0" collapsed="false">
      <c r="A136" s="10" t="s">
        <v>193</v>
      </c>
      <c r="B136" s="10" t="n">
        <v>2</v>
      </c>
      <c r="C136" s="10" t="s">
        <v>63</v>
      </c>
      <c r="D136" s="6" t="n">
        <f aca="false">'Delivery Details and calculatio'!$B$26</f>
        <v>19.57</v>
      </c>
      <c r="E136" s="6" t="n">
        <f aca="false">'Delivery Details and calculatio'!$B$27</f>
        <v>25.51</v>
      </c>
      <c r="F136" s="6" t="n">
        <f aca="false">'Delivery Details and calculatio'!$B$28</f>
        <v>37.43</v>
      </c>
      <c r="G136" s="6" t="n">
        <f aca="false">'Delivery Details and calculatio'!$B$29</f>
        <v>49.35</v>
      </c>
      <c r="H136" s="6" t="n">
        <f aca="false">'Delivery Details and calculatio'!$B$30</f>
        <v>61.28</v>
      </c>
    </row>
    <row r="137" customFormat="false" ht="15" hidden="false" customHeight="false" outlineLevel="0" collapsed="false">
      <c r="A137" s="10" t="s">
        <v>194</v>
      </c>
      <c r="B137" s="10" t="n">
        <v>5</v>
      </c>
      <c r="C137" s="10" t="s">
        <v>58</v>
      </c>
      <c r="D137" s="6" t="n">
        <f aca="false">'Delivery Details and calculatio'!$F$26</f>
        <v>32.73</v>
      </c>
      <c r="E137" s="6" t="n">
        <f aca="false">'Delivery Details and calculatio'!$F$27</f>
        <v>41.61</v>
      </c>
      <c r="F137" s="6" t="n">
        <f aca="false">'Delivery Details and calculatio'!$F$28</f>
        <v>59.38</v>
      </c>
      <c r="G137" s="6" t="n">
        <f aca="false">'Delivery Details and calculatio'!$F$29</f>
        <v>77.09</v>
      </c>
      <c r="H137" s="6" t="n">
        <f aca="false">'Delivery Details and calculatio'!$F$30</f>
        <v>94.81</v>
      </c>
    </row>
    <row r="138" customFormat="false" ht="15" hidden="false" customHeight="false" outlineLevel="0" collapsed="false">
      <c r="A138" s="10" t="s">
        <v>195</v>
      </c>
      <c r="B138" s="10" t="n">
        <v>4</v>
      </c>
      <c r="C138" s="10" t="s">
        <v>60</v>
      </c>
      <c r="D138" s="6" t="n">
        <f aca="false">'Delivery Details and calculatio'!$D$26</f>
        <v>26.98</v>
      </c>
      <c r="E138" s="6" t="n">
        <f aca="false">'Delivery Details and calculatio'!$D$27</f>
        <v>33.77</v>
      </c>
      <c r="F138" s="6" t="n">
        <f aca="false">'Delivery Details and calculatio'!$D$28</f>
        <v>47.41</v>
      </c>
      <c r="G138" s="6" t="n">
        <f aca="false">'Delivery Details and calculatio'!$D$29</f>
        <v>60.99</v>
      </c>
      <c r="H138" s="6" t="n">
        <f aca="false">'Delivery Details and calculatio'!$D$30</f>
        <v>74.58</v>
      </c>
    </row>
    <row r="139" customFormat="false" ht="15" hidden="false" customHeight="false" outlineLevel="0" collapsed="false">
      <c r="A139" s="10" t="s">
        <v>196</v>
      </c>
      <c r="B139" s="10" t="n">
        <v>5</v>
      </c>
      <c r="C139" s="10" t="s">
        <v>58</v>
      </c>
      <c r="D139" s="6" t="n">
        <f aca="false">'Delivery Details and calculatio'!$F$26</f>
        <v>32.73</v>
      </c>
      <c r="E139" s="6" t="n">
        <f aca="false">'Delivery Details and calculatio'!$F$27</f>
        <v>41.61</v>
      </c>
      <c r="F139" s="6" t="n">
        <f aca="false">'Delivery Details and calculatio'!$F$28</f>
        <v>59.38</v>
      </c>
      <c r="G139" s="6" t="n">
        <f aca="false">'Delivery Details and calculatio'!$F$29</f>
        <v>77.09</v>
      </c>
      <c r="H139" s="6" t="n">
        <f aca="false">'Delivery Details and calculatio'!$F$30</f>
        <v>94.81</v>
      </c>
    </row>
    <row r="140" customFormat="false" ht="15" hidden="false" customHeight="false" outlineLevel="0" collapsed="false">
      <c r="A140" s="10" t="s">
        <v>197</v>
      </c>
      <c r="B140" s="10" t="n">
        <v>4</v>
      </c>
      <c r="C140" s="10" t="s">
        <v>60</v>
      </c>
      <c r="D140" s="6" t="n">
        <f aca="false">'Delivery Details and calculatio'!$D$26</f>
        <v>26.98</v>
      </c>
      <c r="E140" s="6" t="n">
        <f aca="false">'Delivery Details and calculatio'!$D$27</f>
        <v>33.77</v>
      </c>
      <c r="F140" s="6" t="n">
        <f aca="false">'Delivery Details and calculatio'!$D$28</f>
        <v>47.41</v>
      </c>
      <c r="G140" s="6" t="n">
        <f aca="false">'Delivery Details and calculatio'!$D$29</f>
        <v>60.99</v>
      </c>
      <c r="H140" s="6" t="n">
        <f aca="false">'Delivery Details and calculatio'!$D$30</f>
        <v>74.58</v>
      </c>
    </row>
    <row r="141" customFormat="false" ht="15" hidden="false" customHeight="false" outlineLevel="0" collapsed="false">
      <c r="A141" s="10" t="s">
        <v>198</v>
      </c>
      <c r="B141" s="10" t="n">
        <v>5</v>
      </c>
      <c r="C141" s="10" t="s">
        <v>58</v>
      </c>
      <c r="D141" s="6" t="n">
        <f aca="false">'Delivery Details and calculatio'!$F$26</f>
        <v>32.73</v>
      </c>
      <c r="E141" s="6" t="n">
        <f aca="false">'Delivery Details and calculatio'!$F$27</f>
        <v>41.61</v>
      </c>
      <c r="F141" s="6" t="n">
        <f aca="false">'Delivery Details and calculatio'!$F$28</f>
        <v>59.38</v>
      </c>
      <c r="G141" s="6" t="n">
        <f aca="false">'Delivery Details and calculatio'!$F$29</f>
        <v>77.09</v>
      </c>
      <c r="H141" s="6" t="n">
        <f aca="false">'Delivery Details and calculatio'!$F$30</f>
        <v>94.81</v>
      </c>
    </row>
    <row r="142" customFormat="false" ht="15" hidden="false" customHeight="false" outlineLevel="0" collapsed="false">
      <c r="A142" s="10" t="s">
        <v>199</v>
      </c>
      <c r="B142" s="10" t="n">
        <v>5</v>
      </c>
      <c r="C142" s="10" t="s">
        <v>58</v>
      </c>
      <c r="D142" s="6" t="n">
        <f aca="false">'Delivery Details and calculatio'!$F$26</f>
        <v>32.73</v>
      </c>
      <c r="E142" s="6" t="n">
        <f aca="false">'Delivery Details and calculatio'!$F$27</f>
        <v>41.61</v>
      </c>
      <c r="F142" s="6" t="n">
        <f aca="false">'Delivery Details and calculatio'!$F$28</f>
        <v>59.38</v>
      </c>
      <c r="G142" s="6" t="n">
        <f aca="false">'Delivery Details and calculatio'!$F$29</f>
        <v>77.09</v>
      </c>
      <c r="H142" s="6" t="n">
        <f aca="false">'Delivery Details and calculatio'!$F$30</f>
        <v>94.81</v>
      </c>
    </row>
    <row r="143" customFormat="false" ht="15" hidden="false" customHeight="false" outlineLevel="0" collapsed="false">
      <c r="A143" s="10" t="s">
        <v>200</v>
      </c>
      <c r="B143" s="10" t="n">
        <v>5</v>
      </c>
      <c r="C143" s="10" t="s">
        <v>58</v>
      </c>
      <c r="D143" s="6" t="n">
        <f aca="false">'Delivery Details and calculatio'!$F$26</f>
        <v>32.73</v>
      </c>
      <c r="E143" s="6" t="n">
        <f aca="false">'Delivery Details and calculatio'!$F$27</f>
        <v>41.61</v>
      </c>
      <c r="F143" s="6" t="n">
        <f aca="false">'Delivery Details and calculatio'!$F$28</f>
        <v>59.38</v>
      </c>
      <c r="G143" s="6" t="n">
        <f aca="false">'Delivery Details and calculatio'!$F$29</f>
        <v>77.09</v>
      </c>
      <c r="H143" s="6" t="n">
        <f aca="false">'Delivery Details and calculatio'!$F$30</f>
        <v>94.81</v>
      </c>
    </row>
    <row r="144" customFormat="false" ht="15" hidden="false" customHeight="false" outlineLevel="0" collapsed="false">
      <c r="A144" s="10" t="s">
        <v>201</v>
      </c>
      <c r="B144" s="10" t="n">
        <v>2</v>
      </c>
      <c r="C144" s="10" t="s">
        <v>63</v>
      </c>
      <c r="D144" s="6" t="n">
        <f aca="false">'Delivery Details and calculatio'!$B$26</f>
        <v>19.57</v>
      </c>
      <c r="E144" s="6" t="n">
        <f aca="false">'Delivery Details and calculatio'!$B$27</f>
        <v>25.51</v>
      </c>
      <c r="F144" s="6" t="n">
        <f aca="false">'Delivery Details and calculatio'!$B$28</f>
        <v>37.43</v>
      </c>
      <c r="G144" s="6" t="n">
        <f aca="false">'Delivery Details and calculatio'!$B$29</f>
        <v>49.35</v>
      </c>
      <c r="H144" s="6" t="n">
        <f aca="false">'Delivery Details and calculatio'!$B$30</f>
        <v>61.28</v>
      </c>
    </row>
    <row r="145" customFormat="false" ht="15" hidden="false" customHeight="false" outlineLevel="0" collapsed="false">
      <c r="A145" s="10" t="s">
        <v>202</v>
      </c>
      <c r="B145" s="10" t="n">
        <v>5</v>
      </c>
      <c r="C145" s="10" t="s">
        <v>58</v>
      </c>
      <c r="D145" s="6" t="n">
        <f aca="false">'Delivery Details and calculatio'!$F$26</f>
        <v>32.73</v>
      </c>
      <c r="E145" s="6" t="n">
        <f aca="false">'Delivery Details and calculatio'!$F$27</f>
        <v>41.61</v>
      </c>
      <c r="F145" s="6" t="n">
        <f aca="false">'Delivery Details and calculatio'!$F$28</f>
        <v>59.38</v>
      </c>
      <c r="G145" s="6" t="n">
        <f aca="false">'Delivery Details and calculatio'!$F$29</f>
        <v>77.09</v>
      </c>
      <c r="H145" s="6" t="n">
        <f aca="false">'Delivery Details and calculatio'!$F$30</f>
        <v>94.81</v>
      </c>
    </row>
    <row r="146" customFormat="false" ht="15" hidden="false" customHeight="false" outlineLevel="0" collapsed="false">
      <c r="A146" s="10" t="s">
        <v>203</v>
      </c>
      <c r="B146" s="10" t="n">
        <v>2</v>
      </c>
      <c r="C146" s="10" t="s">
        <v>63</v>
      </c>
      <c r="D146" s="6" t="n">
        <f aca="false">'Delivery Details and calculatio'!$B$26</f>
        <v>19.57</v>
      </c>
      <c r="E146" s="6" t="n">
        <f aca="false">'Delivery Details and calculatio'!$B$27</f>
        <v>25.51</v>
      </c>
      <c r="F146" s="6" t="n">
        <f aca="false">'Delivery Details and calculatio'!$B$28</f>
        <v>37.43</v>
      </c>
      <c r="G146" s="6" t="n">
        <f aca="false">'Delivery Details and calculatio'!$B$29</f>
        <v>49.35</v>
      </c>
      <c r="H146" s="6" t="n">
        <f aca="false">'Delivery Details and calculatio'!$B$30</f>
        <v>61.28</v>
      </c>
    </row>
    <row r="147" customFormat="false" ht="15" hidden="false" customHeight="false" outlineLevel="0" collapsed="false">
      <c r="A147" s="10" t="s">
        <v>204</v>
      </c>
      <c r="B147" s="10" t="n">
        <v>2</v>
      </c>
      <c r="C147" s="10" t="s">
        <v>63</v>
      </c>
      <c r="D147" s="6" t="n">
        <f aca="false">'Delivery Details and calculatio'!$B$26</f>
        <v>19.57</v>
      </c>
      <c r="E147" s="6" t="n">
        <f aca="false">'Delivery Details and calculatio'!$B$27</f>
        <v>25.51</v>
      </c>
      <c r="F147" s="6" t="n">
        <f aca="false">'Delivery Details and calculatio'!$B$28</f>
        <v>37.43</v>
      </c>
      <c r="G147" s="6" t="n">
        <f aca="false">'Delivery Details and calculatio'!$B$29</f>
        <v>49.35</v>
      </c>
      <c r="H147" s="6" t="n">
        <f aca="false">'Delivery Details and calculatio'!$B$30</f>
        <v>61.28</v>
      </c>
    </row>
    <row r="148" customFormat="false" ht="15" hidden="false" customHeight="false" outlineLevel="0" collapsed="false">
      <c r="A148" s="10" t="s">
        <v>205</v>
      </c>
      <c r="B148" s="10" t="n">
        <v>4</v>
      </c>
      <c r="C148" s="10" t="s">
        <v>60</v>
      </c>
      <c r="D148" s="6" t="n">
        <f aca="false">'Delivery Details and calculatio'!$D$26</f>
        <v>26.98</v>
      </c>
      <c r="E148" s="6" t="n">
        <f aca="false">'Delivery Details and calculatio'!$D$27</f>
        <v>33.77</v>
      </c>
      <c r="F148" s="6" t="n">
        <f aca="false">'Delivery Details and calculatio'!$D$28</f>
        <v>47.41</v>
      </c>
      <c r="G148" s="6" t="n">
        <f aca="false">'Delivery Details and calculatio'!$D$29</f>
        <v>60.99</v>
      </c>
      <c r="H148" s="6" t="n">
        <f aca="false">'Delivery Details and calculatio'!$D$30</f>
        <v>74.58</v>
      </c>
    </row>
    <row r="149" customFormat="false" ht="15" hidden="false" customHeight="false" outlineLevel="0" collapsed="false">
      <c r="A149" s="10" t="s">
        <v>206</v>
      </c>
      <c r="B149" s="10" t="n">
        <v>2</v>
      </c>
      <c r="C149" s="10" t="s">
        <v>63</v>
      </c>
      <c r="D149" s="6" t="n">
        <f aca="false">'Delivery Details and calculatio'!$B$26</f>
        <v>19.57</v>
      </c>
      <c r="E149" s="6" t="n">
        <f aca="false">'Delivery Details and calculatio'!$B$27</f>
        <v>25.51</v>
      </c>
      <c r="F149" s="6" t="n">
        <f aca="false">'Delivery Details and calculatio'!$B$28</f>
        <v>37.43</v>
      </c>
      <c r="G149" s="6" t="n">
        <f aca="false">'Delivery Details and calculatio'!$B$29</f>
        <v>49.35</v>
      </c>
      <c r="H149" s="6" t="n">
        <f aca="false">'Delivery Details and calculatio'!$B$30</f>
        <v>61.28</v>
      </c>
    </row>
    <row r="150" customFormat="false" ht="15" hidden="false" customHeight="false" outlineLevel="0" collapsed="false">
      <c r="A150" s="10" t="s">
        <v>207</v>
      </c>
      <c r="B150" s="10" t="n">
        <v>1</v>
      </c>
      <c r="C150" s="10" t="s">
        <v>208</v>
      </c>
      <c r="D150" s="6" t="n">
        <f aca="false">'Delivery Details and calculatio'!$B$17</f>
        <v>17.01</v>
      </c>
      <c r="E150" s="6" t="n">
        <f aca="false">'Delivery Details and calculatio'!$B$18</f>
        <v>20.52</v>
      </c>
      <c r="F150" s="6" t="n">
        <f aca="false">'Delivery Details and calculatio'!$B$19</f>
        <v>27.55</v>
      </c>
      <c r="G150" s="6" t="n">
        <f aca="false">'Delivery Details and calculatio'!$B$20</f>
        <v>34.58</v>
      </c>
      <c r="H150" s="6" t="n">
        <f aca="false">'Delivery Details and calculatio'!$B$21</f>
        <v>41.61</v>
      </c>
    </row>
    <row r="151" customFormat="false" ht="15" hidden="false" customHeight="false" outlineLevel="0" collapsed="false">
      <c r="A151" s="10" t="s">
        <v>209</v>
      </c>
      <c r="B151" s="10" t="n">
        <v>5</v>
      </c>
      <c r="C151" s="10" t="s">
        <v>58</v>
      </c>
      <c r="D151" s="6" t="n">
        <f aca="false">'Delivery Details and calculatio'!$F$26</f>
        <v>32.73</v>
      </c>
      <c r="E151" s="6" t="n">
        <f aca="false">'Delivery Details and calculatio'!$F$27</f>
        <v>41.61</v>
      </c>
      <c r="F151" s="6" t="n">
        <f aca="false">'Delivery Details and calculatio'!$F$28</f>
        <v>59.38</v>
      </c>
      <c r="G151" s="6" t="n">
        <f aca="false">'Delivery Details and calculatio'!$F$29</f>
        <v>77.09</v>
      </c>
      <c r="H151" s="6" t="n">
        <f aca="false">'Delivery Details and calculatio'!$F$30</f>
        <v>94.81</v>
      </c>
    </row>
    <row r="152" customFormat="false" ht="15" hidden="false" customHeight="false" outlineLevel="0" collapsed="false">
      <c r="A152" s="10" t="s">
        <v>210</v>
      </c>
      <c r="B152" s="10" t="n">
        <v>5</v>
      </c>
      <c r="C152" s="10" t="s">
        <v>58</v>
      </c>
      <c r="D152" s="6" t="n">
        <f aca="false">'Delivery Details and calculatio'!$F$26</f>
        <v>32.73</v>
      </c>
      <c r="E152" s="6" t="n">
        <f aca="false">'Delivery Details and calculatio'!$F$27</f>
        <v>41.61</v>
      </c>
      <c r="F152" s="6" t="n">
        <f aca="false">'Delivery Details and calculatio'!$F$28</f>
        <v>59.38</v>
      </c>
      <c r="G152" s="6" t="n">
        <f aca="false">'Delivery Details and calculatio'!$F$29</f>
        <v>77.09</v>
      </c>
      <c r="H152" s="6" t="n">
        <f aca="false">'Delivery Details and calculatio'!$F$30</f>
        <v>94.81</v>
      </c>
    </row>
    <row r="153" customFormat="false" ht="15" hidden="false" customHeight="false" outlineLevel="0" collapsed="false">
      <c r="A153" s="10" t="s">
        <v>211</v>
      </c>
      <c r="B153" s="10" t="n">
        <v>5</v>
      </c>
      <c r="C153" s="10" t="s">
        <v>58</v>
      </c>
      <c r="D153" s="6" t="n">
        <f aca="false">'Delivery Details and calculatio'!$F$26</f>
        <v>32.73</v>
      </c>
      <c r="E153" s="6" t="n">
        <f aca="false">'Delivery Details and calculatio'!$F$27</f>
        <v>41.61</v>
      </c>
      <c r="F153" s="6" t="n">
        <f aca="false">'Delivery Details and calculatio'!$F$28</f>
        <v>59.38</v>
      </c>
      <c r="G153" s="6" t="n">
        <f aca="false">'Delivery Details and calculatio'!$F$29</f>
        <v>77.09</v>
      </c>
      <c r="H153" s="6" t="n">
        <f aca="false">'Delivery Details and calculatio'!$F$30</f>
        <v>94.81</v>
      </c>
    </row>
    <row r="154" customFormat="false" ht="15" hidden="false" customHeight="false" outlineLevel="0" collapsed="false">
      <c r="A154" s="10" t="s">
        <v>212</v>
      </c>
      <c r="B154" s="10" t="n">
        <v>2</v>
      </c>
      <c r="C154" s="10" t="s">
        <v>63</v>
      </c>
      <c r="D154" s="6" t="n">
        <f aca="false">'Delivery Details and calculatio'!$B$26</f>
        <v>19.57</v>
      </c>
      <c r="E154" s="6" t="n">
        <f aca="false">'Delivery Details and calculatio'!$B$27</f>
        <v>25.51</v>
      </c>
      <c r="F154" s="6" t="n">
        <f aca="false">'Delivery Details and calculatio'!$B$28</f>
        <v>37.43</v>
      </c>
      <c r="G154" s="6" t="n">
        <f aca="false">'Delivery Details and calculatio'!$B$29</f>
        <v>49.35</v>
      </c>
      <c r="H154" s="6" t="n">
        <f aca="false">'Delivery Details and calculatio'!$B$30</f>
        <v>61.28</v>
      </c>
    </row>
    <row r="155" customFormat="false" ht="15" hidden="false" customHeight="false" outlineLevel="0" collapsed="false">
      <c r="A155" s="10" t="s">
        <v>213</v>
      </c>
      <c r="B155" s="10" t="n">
        <v>2</v>
      </c>
      <c r="C155" s="10" t="s">
        <v>63</v>
      </c>
      <c r="D155" s="6" t="n">
        <f aca="false">'Delivery Details and calculatio'!$B$26</f>
        <v>19.57</v>
      </c>
      <c r="E155" s="6" t="n">
        <f aca="false">'Delivery Details and calculatio'!$B$27</f>
        <v>25.51</v>
      </c>
      <c r="F155" s="6" t="n">
        <f aca="false">'Delivery Details and calculatio'!$B$28</f>
        <v>37.43</v>
      </c>
      <c r="G155" s="6" t="n">
        <f aca="false">'Delivery Details and calculatio'!$B$29</f>
        <v>49.35</v>
      </c>
      <c r="H155" s="6" t="n">
        <f aca="false">'Delivery Details and calculatio'!$B$30</f>
        <v>61.28</v>
      </c>
    </row>
    <row r="156" customFormat="false" ht="15" hidden="false" customHeight="false" outlineLevel="0" collapsed="false">
      <c r="A156" s="10" t="s">
        <v>214</v>
      </c>
      <c r="B156" s="10" t="n">
        <v>4</v>
      </c>
      <c r="C156" s="10" t="s">
        <v>60</v>
      </c>
      <c r="D156" s="6" t="n">
        <f aca="false">'Delivery Details and calculatio'!$D$26</f>
        <v>26.98</v>
      </c>
      <c r="E156" s="6" t="n">
        <f aca="false">'Delivery Details and calculatio'!$D$27</f>
        <v>33.77</v>
      </c>
      <c r="F156" s="6" t="n">
        <f aca="false">'Delivery Details and calculatio'!$D$28</f>
        <v>47.41</v>
      </c>
      <c r="G156" s="6" t="n">
        <f aca="false">'Delivery Details and calculatio'!$D$29</f>
        <v>60.99</v>
      </c>
      <c r="H156" s="6" t="n">
        <f aca="false">'Delivery Details and calculatio'!$D$30</f>
        <v>74.58</v>
      </c>
    </row>
    <row r="157" customFormat="false" ht="15" hidden="false" customHeight="false" outlineLevel="0" collapsed="false">
      <c r="A157" s="10" t="s">
        <v>215</v>
      </c>
      <c r="B157" s="10" t="n">
        <v>2</v>
      </c>
      <c r="C157" s="10" t="s">
        <v>63</v>
      </c>
      <c r="D157" s="6" t="n">
        <f aca="false">'Delivery Details and calculatio'!$B$26</f>
        <v>19.57</v>
      </c>
      <c r="E157" s="6" t="n">
        <f aca="false">'Delivery Details and calculatio'!$B$27</f>
        <v>25.51</v>
      </c>
      <c r="F157" s="6" t="n">
        <f aca="false">'Delivery Details and calculatio'!$B$28</f>
        <v>37.43</v>
      </c>
      <c r="G157" s="6" t="n">
        <f aca="false">'Delivery Details and calculatio'!$B$29</f>
        <v>49.35</v>
      </c>
      <c r="H157" s="6" t="n">
        <f aca="false">'Delivery Details and calculatio'!$B$30</f>
        <v>61.28</v>
      </c>
    </row>
    <row r="158" customFormat="false" ht="15" hidden="false" customHeight="false" outlineLevel="0" collapsed="false">
      <c r="A158" s="10" t="s">
        <v>216</v>
      </c>
      <c r="B158" s="10" t="n">
        <v>4</v>
      </c>
      <c r="C158" s="10" t="s">
        <v>60</v>
      </c>
      <c r="D158" s="6" t="n">
        <f aca="false">'Delivery Details and calculatio'!$D$26</f>
        <v>26.98</v>
      </c>
      <c r="E158" s="6" t="n">
        <f aca="false">'Delivery Details and calculatio'!$D$27</f>
        <v>33.77</v>
      </c>
      <c r="F158" s="6" t="n">
        <f aca="false">'Delivery Details and calculatio'!$D$28</f>
        <v>47.41</v>
      </c>
      <c r="G158" s="6" t="n">
        <f aca="false">'Delivery Details and calculatio'!$D$29</f>
        <v>60.99</v>
      </c>
      <c r="H158" s="6" t="n">
        <f aca="false">'Delivery Details and calculatio'!$D$30</f>
        <v>74.58</v>
      </c>
    </row>
    <row r="159" customFormat="false" ht="15" hidden="false" customHeight="false" outlineLevel="0" collapsed="false">
      <c r="A159" s="10" t="s">
        <v>217</v>
      </c>
      <c r="B159" s="10" t="n">
        <v>5</v>
      </c>
      <c r="C159" s="10" t="s">
        <v>58</v>
      </c>
      <c r="D159" s="6" t="n">
        <f aca="false">'Delivery Details and calculatio'!$F$26</f>
        <v>32.73</v>
      </c>
      <c r="E159" s="6" t="n">
        <f aca="false">'Delivery Details and calculatio'!$F$27</f>
        <v>41.61</v>
      </c>
      <c r="F159" s="6" t="n">
        <f aca="false">'Delivery Details and calculatio'!$F$28</f>
        <v>59.38</v>
      </c>
      <c r="G159" s="6" t="n">
        <f aca="false">'Delivery Details and calculatio'!$F$29</f>
        <v>77.09</v>
      </c>
      <c r="H159" s="6" t="n">
        <f aca="false">'Delivery Details and calculatio'!$F$30</f>
        <v>94.81</v>
      </c>
    </row>
    <row r="160" customFormat="false" ht="15" hidden="false" customHeight="false" outlineLevel="0" collapsed="false">
      <c r="A160" s="10" t="s">
        <v>218</v>
      </c>
      <c r="B160" s="10" t="n">
        <v>2</v>
      </c>
      <c r="C160" s="10" t="s">
        <v>63</v>
      </c>
      <c r="D160" s="6" t="n">
        <f aca="false">'Delivery Details and calculatio'!$B$26</f>
        <v>19.57</v>
      </c>
      <c r="E160" s="6" t="n">
        <f aca="false">'Delivery Details and calculatio'!$B$27</f>
        <v>25.51</v>
      </c>
      <c r="F160" s="6" t="n">
        <f aca="false">'Delivery Details and calculatio'!$B$28</f>
        <v>37.43</v>
      </c>
      <c r="G160" s="6" t="n">
        <f aca="false">'Delivery Details and calculatio'!$B$29</f>
        <v>49.35</v>
      </c>
      <c r="H160" s="6" t="n">
        <f aca="false">'Delivery Details and calculatio'!$B$30</f>
        <v>61.28</v>
      </c>
    </row>
    <row r="161" customFormat="false" ht="15" hidden="false" customHeight="false" outlineLevel="0" collapsed="false">
      <c r="A161" s="10" t="s">
        <v>219</v>
      </c>
      <c r="B161" s="10" t="n">
        <v>2</v>
      </c>
      <c r="C161" s="10" t="s">
        <v>63</v>
      </c>
      <c r="D161" s="6" t="n">
        <f aca="false">'Delivery Details and calculatio'!$B$26</f>
        <v>19.57</v>
      </c>
      <c r="E161" s="6" t="n">
        <f aca="false">'Delivery Details and calculatio'!$B$27</f>
        <v>25.51</v>
      </c>
      <c r="F161" s="6" t="n">
        <f aca="false">'Delivery Details and calculatio'!$B$28</f>
        <v>37.43</v>
      </c>
      <c r="G161" s="6" t="n">
        <f aca="false">'Delivery Details and calculatio'!$B$29</f>
        <v>49.35</v>
      </c>
      <c r="H161" s="6" t="n">
        <f aca="false">'Delivery Details and calculatio'!$B$30</f>
        <v>61.28</v>
      </c>
    </row>
    <row r="162" customFormat="false" ht="15" hidden="false" customHeight="false" outlineLevel="0" collapsed="false">
      <c r="A162" s="10" t="s">
        <v>220</v>
      </c>
      <c r="B162" s="10" t="n">
        <v>5</v>
      </c>
      <c r="C162" s="10" t="s">
        <v>58</v>
      </c>
      <c r="D162" s="6" t="n">
        <f aca="false">'Delivery Details and calculatio'!$F$26</f>
        <v>32.73</v>
      </c>
      <c r="E162" s="6" t="n">
        <f aca="false">'Delivery Details and calculatio'!$F$27</f>
        <v>41.61</v>
      </c>
      <c r="F162" s="6" t="n">
        <f aca="false">'Delivery Details and calculatio'!$F$28</f>
        <v>59.38</v>
      </c>
      <c r="G162" s="6" t="n">
        <f aca="false">'Delivery Details and calculatio'!$F$29</f>
        <v>77.09</v>
      </c>
      <c r="H162" s="6" t="n">
        <f aca="false">'Delivery Details and calculatio'!$F$30</f>
        <v>94.81</v>
      </c>
    </row>
    <row r="163" customFormat="false" ht="15" hidden="false" customHeight="false" outlineLevel="0" collapsed="false">
      <c r="A163" s="10" t="s">
        <v>221</v>
      </c>
      <c r="B163" s="10" t="n">
        <v>2</v>
      </c>
      <c r="C163" s="10" t="s">
        <v>63</v>
      </c>
      <c r="D163" s="6" t="n">
        <f aca="false">'Delivery Details and calculatio'!$B$26</f>
        <v>19.57</v>
      </c>
      <c r="E163" s="6" t="n">
        <f aca="false">'Delivery Details and calculatio'!$B$27</f>
        <v>25.51</v>
      </c>
      <c r="F163" s="6" t="n">
        <f aca="false">'Delivery Details and calculatio'!$B$28</f>
        <v>37.43</v>
      </c>
      <c r="G163" s="6" t="n">
        <f aca="false">'Delivery Details and calculatio'!$B$29</f>
        <v>49.35</v>
      </c>
      <c r="H163" s="6" t="n">
        <f aca="false">'Delivery Details and calculatio'!$B$30</f>
        <v>61.28</v>
      </c>
    </row>
    <row r="164" customFormat="false" ht="15" hidden="false" customHeight="false" outlineLevel="0" collapsed="false">
      <c r="A164" s="10" t="s">
        <v>222</v>
      </c>
      <c r="B164" s="10" t="n">
        <v>5</v>
      </c>
      <c r="C164" s="10" t="s">
        <v>58</v>
      </c>
      <c r="D164" s="6" t="n">
        <f aca="false">'Delivery Details and calculatio'!$F$26</f>
        <v>32.73</v>
      </c>
      <c r="E164" s="6" t="n">
        <f aca="false">'Delivery Details and calculatio'!$F$27</f>
        <v>41.61</v>
      </c>
      <c r="F164" s="6" t="n">
        <f aca="false">'Delivery Details and calculatio'!$F$28</f>
        <v>59.38</v>
      </c>
      <c r="G164" s="6" t="n">
        <f aca="false">'Delivery Details and calculatio'!$F$29</f>
        <v>77.09</v>
      </c>
      <c r="H164" s="6" t="n">
        <f aca="false">'Delivery Details and calculatio'!$F$30</f>
        <v>94.81</v>
      </c>
    </row>
    <row r="165" customFormat="false" ht="15" hidden="false" customHeight="false" outlineLevel="0" collapsed="false">
      <c r="A165" s="10" t="s">
        <v>223</v>
      </c>
      <c r="B165" s="10" t="n">
        <v>5</v>
      </c>
      <c r="C165" s="10" t="s">
        <v>58</v>
      </c>
      <c r="D165" s="6" t="n">
        <f aca="false">'Delivery Details and calculatio'!$F$26</f>
        <v>32.73</v>
      </c>
      <c r="E165" s="6" t="n">
        <f aca="false">'Delivery Details and calculatio'!$F$27</f>
        <v>41.61</v>
      </c>
      <c r="F165" s="6" t="n">
        <f aca="false">'Delivery Details and calculatio'!$F$28</f>
        <v>59.38</v>
      </c>
      <c r="G165" s="6" t="n">
        <f aca="false">'Delivery Details and calculatio'!$F$29</f>
        <v>77.09</v>
      </c>
      <c r="H165" s="6" t="n">
        <f aca="false">'Delivery Details and calculatio'!$F$30</f>
        <v>94.81</v>
      </c>
    </row>
    <row r="166" customFormat="false" ht="15" hidden="false" customHeight="false" outlineLevel="0" collapsed="false">
      <c r="A166" s="10" t="s">
        <v>224</v>
      </c>
      <c r="B166" s="10" t="n">
        <v>2</v>
      </c>
      <c r="C166" s="10" t="s">
        <v>63</v>
      </c>
      <c r="D166" s="6" t="n">
        <f aca="false">'Delivery Details and calculatio'!$B$26</f>
        <v>19.57</v>
      </c>
      <c r="E166" s="6" t="n">
        <f aca="false">'Delivery Details and calculatio'!$B$27</f>
        <v>25.51</v>
      </c>
      <c r="F166" s="6" t="n">
        <f aca="false">'Delivery Details and calculatio'!$B$28</f>
        <v>37.43</v>
      </c>
      <c r="G166" s="6" t="n">
        <f aca="false">'Delivery Details and calculatio'!$B$29</f>
        <v>49.35</v>
      </c>
      <c r="H166" s="6" t="n">
        <f aca="false">'Delivery Details and calculatio'!$B$30</f>
        <v>61.28</v>
      </c>
    </row>
    <row r="167" customFormat="false" ht="15" hidden="false" customHeight="false" outlineLevel="0" collapsed="false">
      <c r="A167" s="10" t="s">
        <v>225</v>
      </c>
      <c r="B167" s="10" t="n">
        <v>2</v>
      </c>
      <c r="C167" s="10" t="s">
        <v>63</v>
      </c>
      <c r="D167" s="6" t="n">
        <f aca="false">'Delivery Details and calculatio'!$B$26</f>
        <v>19.57</v>
      </c>
      <c r="E167" s="6" t="n">
        <f aca="false">'Delivery Details and calculatio'!$B$27</f>
        <v>25.51</v>
      </c>
      <c r="F167" s="6" t="n">
        <f aca="false">'Delivery Details and calculatio'!$B$28</f>
        <v>37.43</v>
      </c>
      <c r="G167" s="6" t="n">
        <f aca="false">'Delivery Details and calculatio'!$B$29</f>
        <v>49.35</v>
      </c>
      <c r="H167" s="6" t="n">
        <f aca="false">'Delivery Details and calculatio'!$B$30</f>
        <v>61.28</v>
      </c>
    </row>
    <row r="168" customFormat="false" ht="15" hidden="false" customHeight="false" outlineLevel="0" collapsed="false">
      <c r="A168" s="10" t="s">
        <v>226</v>
      </c>
      <c r="B168" s="10" t="n">
        <v>4</v>
      </c>
      <c r="C168" s="10" t="s">
        <v>60</v>
      </c>
      <c r="D168" s="6" t="n">
        <f aca="false">'Delivery Details and calculatio'!$D$26</f>
        <v>26.98</v>
      </c>
      <c r="E168" s="6" t="n">
        <f aca="false">'Delivery Details and calculatio'!$D$27</f>
        <v>33.77</v>
      </c>
      <c r="F168" s="6" t="n">
        <f aca="false">'Delivery Details and calculatio'!$D$28</f>
        <v>47.41</v>
      </c>
      <c r="G168" s="6" t="n">
        <f aca="false">'Delivery Details and calculatio'!$D$29</f>
        <v>60.99</v>
      </c>
      <c r="H168" s="6" t="n">
        <f aca="false">'Delivery Details and calculatio'!$D$30</f>
        <v>74.58</v>
      </c>
    </row>
    <row r="169" customFormat="false" ht="15" hidden="false" customHeight="false" outlineLevel="0" collapsed="false">
      <c r="A169" s="10" t="s">
        <v>227</v>
      </c>
      <c r="B169" s="10" t="n">
        <v>4</v>
      </c>
      <c r="C169" s="10" t="s">
        <v>60</v>
      </c>
      <c r="D169" s="6" t="n">
        <f aca="false">'Delivery Details and calculatio'!$D$26</f>
        <v>26.98</v>
      </c>
      <c r="E169" s="6" t="n">
        <f aca="false">'Delivery Details and calculatio'!$D$27</f>
        <v>33.77</v>
      </c>
      <c r="F169" s="6" t="n">
        <f aca="false">'Delivery Details and calculatio'!$D$28</f>
        <v>47.41</v>
      </c>
      <c r="G169" s="6" t="n">
        <f aca="false">'Delivery Details and calculatio'!$D$29</f>
        <v>60.99</v>
      </c>
      <c r="H169" s="6" t="n">
        <f aca="false">'Delivery Details and calculatio'!$D$30</f>
        <v>74.58</v>
      </c>
    </row>
    <row r="170" customFormat="false" ht="15" hidden="false" customHeight="false" outlineLevel="0" collapsed="false">
      <c r="A170" s="10" t="s">
        <v>228</v>
      </c>
      <c r="B170" s="10" t="n">
        <v>5</v>
      </c>
      <c r="C170" s="10" t="s">
        <v>58</v>
      </c>
      <c r="D170" s="6" t="n">
        <f aca="false">'Delivery Details and calculatio'!$F$26</f>
        <v>32.73</v>
      </c>
      <c r="E170" s="6" t="n">
        <f aca="false">'Delivery Details and calculatio'!$F$27</f>
        <v>41.61</v>
      </c>
      <c r="F170" s="6" t="n">
        <f aca="false">'Delivery Details and calculatio'!$F$28</f>
        <v>59.38</v>
      </c>
      <c r="G170" s="6" t="n">
        <f aca="false">'Delivery Details and calculatio'!$F$29</f>
        <v>77.09</v>
      </c>
      <c r="H170" s="6" t="n">
        <f aca="false">'Delivery Details and calculatio'!$F$30</f>
        <v>94.81</v>
      </c>
    </row>
    <row r="171" customFormat="false" ht="15" hidden="false" customHeight="false" outlineLevel="0" collapsed="false">
      <c r="A171" s="10" t="s">
        <v>229</v>
      </c>
      <c r="B171" s="10" t="n">
        <v>5</v>
      </c>
      <c r="C171" s="10" t="s">
        <v>58</v>
      </c>
      <c r="D171" s="6" t="n">
        <f aca="false">'Delivery Details and calculatio'!$F$26</f>
        <v>32.73</v>
      </c>
      <c r="E171" s="6" t="n">
        <f aca="false">'Delivery Details and calculatio'!$F$27</f>
        <v>41.61</v>
      </c>
      <c r="F171" s="6" t="n">
        <f aca="false">'Delivery Details and calculatio'!$F$28</f>
        <v>59.38</v>
      </c>
      <c r="G171" s="6" t="n">
        <f aca="false">'Delivery Details and calculatio'!$F$29</f>
        <v>77.09</v>
      </c>
      <c r="H171" s="6" t="n">
        <f aca="false">'Delivery Details and calculatio'!$F$30</f>
        <v>94.81</v>
      </c>
    </row>
    <row r="172" customFormat="false" ht="15" hidden="false" customHeight="false" outlineLevel="0" collapsed="false">
      <c r="A172" s="10" t="s">
        <v>230</v>
      </c>
      <c r="B172" s="10" t="n">
        <v>5</v>
      </c>
      <c r="C172" s="10" t="s">
        <v>58</v>
      </c>
      <c r="D172" s="6" t="n">
        <f aca="false">'Delivery Details and calculatio'!$F$26</f>
        <v>32.73</v>
      </c>
      <c r="E172" s="6" t="n">
        <f aca="false">'Delivery Details and calculatio'!$F$27</f>
        <v>41.61</v>
      </c>
      <c r="F172" s="6" t="n">
        <f aca="false">'Delivery Details and calculatio'!$F$28</f>
        <v>59.38</v>
      </c>
      <c r="G172" s="6" t="n">
        <f aca="false">'Delivery Details and calculatio'!$F$29</f>
        <v>77.09</v>
      </c>
      <c r="H172" s="6" t="n">
        <f aca="false">'Delivery Details and calculatio'!$F$30</f>
        <v>94.81</v>
      </c>
    </row>
    <row r="173" customFormat="false" ht="15" hidden="false" customHeight="false" outlineLevel="0" collapsed="false">
      <c r="A173" s="10" t="s">
        <v>231</v>
      </c>
      <c r="B173" s="10" t="n">
        <v>4</v>
      </c>
      <c r="C173" s="10" t="s">
        <v>60</v>
      </c>
      <c r="D173" s="6" t="n">
        <f aca="false">'Delivery Details and calculatio'!$D$26</f>
        <v>26.98</v>
      </c>
      <c r="E173" s="6" t="n">
        <f aca="false">'Delivery Details and calculatio'!$D$27</f>
        <v>33.77</v>
      </c>
      <c r="F173" s="6" t="n">
        <f aca="false">'Delivery Details and calculatio'!$D$28</f>
        <v>47.41</v>
      </c>
      <c r="G173" s="6" t="n">
        <f aca="false">'Delivery Details and calculatio'!$D$29</f>
        <v>60.99</v>
      </c>
      <c r="H173" s="6" t="n">
        <f aca="false">'Delivery Details and calculatio'!$D$30</f>
        <v>74.58</v>
      </c>
    </row>
    <row r="174" customFormat="false" ht="15" hidden="false" customHeight="false" outlineLevel="0" collapsed="false">
      <c r="A174" s="10" t="s">
        <v>232</v>
      </c>
      <c r="B174" s="10" t="n">
        <v>4</v>
      </c>
      <c r="C174" s="10" t="s">
        <v>60</v>
      </c>
      <c r="D174" s="6" t="n">
        <f aca="false">'Delivery Details and calculatio'!$D$26</f>
        <v>26.98</v>
      </c>
      <c r="E174" s="6" t="n">
        <f aca="false">'Delivery Details and calculatio'!$D$27</f>
        <v>33.77</v>
      </c>
      <c r="F174" s="6" t="n">
        <f aca="false">'Delivery Details and calculatio'!$D$28</f>
        <v>47.41</v>
      </c>
      <c r="G174" s="6" t="n">
        <f aca="false">'Delivery Details and calculatio'!$D$29</f>
        <v>60.99</v>
      </c>
      <c r="H174" s="6" t="n">
        <f aca="false">'Delivery Details and calculatio'!$D$30</f>
        <v>74.58</v>
      </c>
    </row>
    <row r="175" customFormat="false" ht="15" hidden="false" customHeight="false" outlineLevel="0" collapsed="false">
      <c r="A175" s="10" t="s">
        <v>233</v>
      </c>
      <c r="B175" s="10" t="n">
        <v>5</v>
      </c>
      <c r="C175" s="10" t="s">
        <v>58</v>
      </c>
      <c r="D175" s="6" t="n">
        <f aca="false">'Delivery Details and calculatio'!$F$26</f>
        <v>32.73</v>
      </c>
      <c r="E175" s="6" t="n">
        <f aca="false">'Delivery Details and calculatio'!$F$27</f>
        <v>41.61</v>
      </c>
      <c r="F175" s="6" t="n">
        <f aca="false">'Delivery Details and calculatio'!$F$28</f>
        <v>59.38</v>
      </c>
      <c r="G175" s="6" t="n">
        <f aca="false">'Delivery Details and calculatio'!$F$29</f>
        <v>77.09</v>
      </c>
      <c r="H175" s="6" t="n">
        <f aca="false">'Delivery Details and calculatio'!$F$30</f>
        <v>94.81</v>
      </c>
    </row>
    <row r="176" customFormat="false" ht="15" hidden="false" customHeight="false" outlineLevel="0" collapsed="false">
      <c r="A176" s="10" t="s">
        <v>234</v>
      </c>
      <c r="B176" s="10" t="n">
        <v>5</v>
      </c>
      <c r="C176" s="10" t="s">
        <v>58</v>
      </c>
      <c r="D176" s="6" t="n">
        <f aca="false">'Delivery Details and calculatio'!$F$26</f>
        <v>32.73</v>
      </c>
      <c r="E176" s="6" t="n">
        <f aca="false">'Delivery Details and calculatio'!$F$27</f>
        <v>41.61</v>
      </c>
      <c r="F176" s="6" t="n">
        <f aca="false">'Delivery Details and calculatio'!$F$28</f>
        <v>59.38</v>
      </c>
      <c r="G176" s="6" t="n">
        <f aca="false">'Delivery Details and calculatio'!$F$29</f>
        <v>77.09</v>
      </c>
      <c r="H176" s="6" t="n">
        <f aca="false">'Delivery Details and calculatio'!$F$30</f>
        <v>94.81</v>
      </c>
    </row>
    <row r="177" customFormat="false" ht="15" hidden="false" customHeight="false" outlineLevel="0" collapsed="false">
      <c r="A177" s="10" t="s">
        <v>235</v>
      </c>
      <c r="B177" s="10" t="n">
        <v>5</v>
      </c>
      <c r="C177" s="10" t="s">
        <v>58</v>
      </c>
      <c r="D177" s="6" t="n">
        <f aca="false">'Delivery Details and calculatio'!$F$26</f>
        <v>32.73</v>
      </c>
      <c r="E177" s="6" t="n">
        <f aca="false">'Delivery Details and calculatio'!$F$27</f>
        <v>41.61</v>
      </c>
      <c r="F177" s="6" t="n">
        <f aca="false">'Delivery Details and calculatio'!$F$28</f>
        <v>59.38</v>
      </c>
      <c r="G177" s="6" t="n">
        <f aca="false">'Delivery Details and calculatio'!$F$29</f>
        <v>77.09</v>
      </c>
      <c r="H177" s="6" t="n">
        <f aca="false">'Delivery Details and calculatio'!$F$30</f>
        <v>94.81</v>
      </c>
    </row>
    <row r="178" customFormat="false" ht="15" hidden="false" customHeight="false" outlineLevel="0" collapsed="false">
      <c r="A178" s="10" t="s">
        <v>236</v>
      </c>
      <c r="B178" s="10" t="n">
        <v>5</v>
      </c>
      <c r="C178" s="10" t="s">
        <v>58</v>
      </c>
      <c r="D178" s="6" t="n">
        <f aca="false">'Delivery Details and calculatio'!$F$26</f>
        <v>32.73</v>
      </c>
      <c r="E178" s="6" t="n">
        <f aca="false">'Delivery Details and calculatio'!$F$27</f>
        <v>41.61</v>
      </c>
      <c r="F178" s="6" t="n">
        <f aca="false">'Delivery Details and calculatio'!$F$28</f>
        <v>59.38</v>
      </c>
      <c r="G178" s="6" t="n">
        <f aca="false">'Delivery Details and calculatio'!$F$29</f>
        <v>77.09</v>
      </c>
      <c r="H178" s="6" t="n">
        <f aca="false">'Delivery Details and calculatio'!$F$30</f>
        <v>94.81</v>
      </c>
    </row>
    <row r="179" customFormat="false" ht="15" hidden="false" customHeight="false" outlineLevel="0" collapsed="false">
      <c r="A179" s="10" t="s">
        <v>237</v>
      </c>
      <c r="B179" s="10" t="n">
        <v>5</v>
      </c>
      <c r="C179" s="10" t="s">
        <v>58</v>
      </c>
      <c r="D179" s="6" t="n">
        <f aca="false">'Delivery Details and calculatio'!$F$26</f>
        <v>32.73</v>
      </c>
      <c r="E179" s="6" t="n">
        <f aca="false">'Delivery Details and calculatio'!$F$27</f>
        <v>41.61</v>
      </c>
      <c r="F179" s="6" t="n">
        <f aca="false">'Delivery Details and calculatio'!$F$28</f>
        <v>59.38</v>
      </c>
      <c r="G179" s="6" t="n">
        <f aca="false">'Delivery Details and calculatio'!$F$29</f>
        <v>77.09</v>
      </c>
      <c r="H179" s="6" t="n">
        <f aca="false">'Delivery Details and calculatio'!$F$30</f>
        <v>94.81</v>
      </c>
    </row>
    <row r="180" customFormat="false" ht="15" hidden="false" customHeight="false" outlineLevel="0" collapsed="false">
      <c r="A180" s="10" t="s">
        <v>238</v>
      </c>
      <c r="B180" s="10" t="n">
        <v>5</v>
      </c>
      <c r="C180" s="10" t="s">
        <v>58</v>
      </c>
      <c r="D180" s="6" t="n">
        <f aca="false">'Delivery Details and calculatio'!$F$26</f>
        <v>32.73</v>
      </c>
      <c r="E180" s="6" t="n">
        <f aca="false">'Delivery Details and calculatio'!$F$27</f>
        <v>41.61</v>
      </c>
      <c r="F180" s="6" t="n">
        <f aca="false">'Delivery Details and calculatio'!$F$28</f>
        <v>59.38</v>
      </c>
      <c r="G180" s="6" t="n">
        <f aca="false">'Delivery Details and calculatio'!$F$29</f>
        <v>77.09</v>
      </c>
      <c r="H180" s="6" t="n">
        <f aca="false">'Delivery Details and calculatio'!$F$30</f>
        <v>94.81</v>
      </c>
    </row>
    <row r="181" customFormat="false" ht="15" hidden="false" customHeight="false" outlineLevel="0" collapsed="false">
      <c r="A181" s="10" t="s">
        <v>239</v>
      </c>
      <c r="B181" s="10" t="n">
        <v>5</v>
      </c>
      <c r="C181" s="10" t="s">
        <v>58</v>
      </c>
      <c r="D181" s="6" t="n">
        <f aca="false">'Delivery Details and calculatio'!$F$26</f>
        <v>32.73</v>
      </c>
      <c r="E181" s="6" t="n">
        <f aca="false">'Delivery Details and calculatio'!$F$27</f>
        <v>41.61</v>
      </c>
      <c r="F181" s="6" t="n">
        <f aca="false">'Delivery Details and calculatio'!$F$28</f>
        <v>59.38</v>
      </c>
      <c r="G181" s="6" t="n">
        <f aca="false">'Delivery Details and calculatio'!$F$29</f>
        <v>77.09</v>
      </c>
      <c r="H181" s="6" t="n">
        <f aca="false">'Delivery Details and calculatio'!$F$30</f>
        <v>94.81</v>
      </c>
    </row>
    <row r="182" customFormat="false" ht="15" hidden="false" customHeight="false" outlineLevel="0" collapsed="false">
      <c r="A182" s="10" t="s">
        <v>240</v>
      </c>
      <c r="B182" s="10" t="n">
        <v>2</v>
      </c>
      <c r="C182" s="10" t="s">
        <v>63</v>
      </c>
      <c r="D182" s="6" t="n">
        <f aca="false">'Delivery Details and calculatio'!$B$26</f>
        <v>19.57</v>
      </c>
      <c r="E182" s="6" t="n">
        <f aca="false">'Delivery Details and calculatio'!$B$27</f>
        <v>25.51</v>
      </c>
      <c r="F182" s="6" t="n">
        <f aca="false">'Delivery Details and calculatio'!$B$28</f>
        <v>37.43</v>
      </c>
      <c r="G182" s="6" t="n">
        <f aca="false">'Delivery Details and calculatio'!$B$29</f>
        <v>49.35</v>
      </c>
      <c r="H182" s="6" t="n">
        <f aca="false">'Delivery Details and calculatio'!$B$30</f>
        <v>61.28</v>
      </c>
    </row>
    <row r="183" customFormat="false" ht="15" hidden="false" customHeight="false" outlineLevel="0" collapsed="false">
      <c r="A183" s="10" t="s">
        <v>241</v>
      </c>
      <c r="B183" s="10" t="n">
        <v>5</v>
      </c>
      <c r="C183" s="10" t="s">
        <v>58</v>
      </c>
      <c r="D183" s="6" t="n">
        <f aca="false">'Delivery Details and calculatio'!$F$26</f>
        <v>32.73</v>
      </c>
      <c r="E183" s="6" t="n">
        <f aca="false">'Delivery Details and calculatio'!$F$27</f>
        <v>41.61</v>
      </c>
      <c r="F183" s="6" t="n">
        <f aca="false">'Delivery Details and calculatio'!$F$28</f>
        <v>59.38</v>
      </c>
      <c r="G183" s="6" t="n">
        <f aca="false">'Delivery Details and calculatio'!$F$29</f>
        <v>77.09</v>
      </c>
      <c r="H183" s="6" t="n">
        <f aca="false">'Delivery Details and calculatio'!$F$30</f>
        <v>94.81</v>
      </c>
    </row>
    <row r="184" customFormat="false" ht="15" hidden="false" customHeight="false" outlineLevel="0" collapsed="false">
      <c r="A184" s="10" t="s">
        <v>242</v>
      </c>
      <c r="B184" s="10" t="n">
        <v>5</v>
      </c>
      <c r="C184" s="10" t="s">
        <v>58</v>
      </c>
      <c r="D184" s="6" t="n">
        <f aca="false">'Delivery Details and calculatio'!$F$26</f>
        <v>32.73</v>
      </c>
      <c r="E184" s="6" t="n">
        <f aca="false">'Delivery Details and calculatio'!$F$27</f>
        <v>41.61</v>
      </c>
      <c r="F184" s="6" t="n">
        <f aca="false">'Delivery Details and calculatio'!$F$28</f>
        <v>59.38</v>
      </c>
      <c r="G184" s="6" t="n">
        <f aca="false">'Delivery Details and calculatio'!$F$29</f>
        <v>77.09</v>
      </c>
      <c r="H184" s="6" t="n">
        <f aca="false">'Delivery Details and calculatio'!$F$30</f>
        <v>94.81</v>
      </c>
    </row>
    <row r="185" customFormat="false" ht="15" hidden="false" customHeight="false" outlineLevel="0" collapsed="false">
      <c r="A185" s="10" t="s">
        <v>243</v>
      </c>
      <c r="B185" s="10" t="n">
        <v>5</v>
      </c>
      <c r="C185" s="10" t="s">
        <v>58</v>
      </c>
      <c r="D185" s="6" t="n">
        <f aca="false">'Delivery Details and calculatio'!$F$26</f>
        <v>32.73</v>
      </c>
      <c r="E185" s="6" t="n">
        <f aca="false">'Delivery Details and calculatio'!$F$27</f>
        <v>41.61</v>
      </c>
      <c r="F185" s="6" t="n">
        <f aca="false">'Delivery Details and calculatio'!$F$28</f>
        <v>59.38</v>
      </c>
      <c r="G185" s="6" t="n">
        <f aca="false">'Delivery Details and calculatio'!$F$29</f>
        <v>77.09</v>
      </c>
      <c r="H185" s="6" t="n">
        <f aca="false">'Delivery Details and calculatio'!$F$30</f>
        <v>94.81</v>
      </c>
    </row>
    <row r="186" customFormat="false" ht="15" hidden="false" customHeight="false" outlineLevel="0" collapsed="false">
      <c r="A186" s="10" t="s">
        <v>244</v>
      </c>
      <c r="B186" s="10" t="n">
        <v>4</v>
      </c>
      <c r="C186" s="10" t="s">
        <v>60</v>
      </c>
      <c r="D186" s="6" t="n">
        <f aca="false">'Delivery Details and calculatio'!$D$26</f>
        <v>26.98</v>
      </c>
      <c r="E186" s="6" t="n">
        <f aca="false">'Delivery Details and calculatio'!$D$27</f>
        <v>33.77</v>
      </c>
      <c r="F186" s="6" t="n">
        <f aca="false">'Delivery Details and calculatio'!$D$28</f>
        <v>47.41</v>
      </c>
      <c r="G186" s="6" t="n">
        <f aca="false">'Delivery Details and calculatio'!$D$29</f>
        <v>60.99</v>
      </c>
      <c r="H186" s="6" t="n">
        <f aca="false">'Delivery Details and calculatio'!$D$30</f>
        <v>74.58</v>
      </c>
    </row>
    <row r="187" customFormat="false" ht="15" hidden="false" customHeight="false" outlineLevel="0" collapsed="false">
      <c r="A187" s="10" t="s">
        <v>245</v>
      </c>
      <c r="B187" s="10" t="n">
        <v>5</v>
      </c>
      <c r="C187" s="10" t="s">
        <v>58</v>
      </c>
      <c r="D187" s="6" t="n">
        <f aca="false">'Delivery Details and calculatio'!$F$26</f>
        <v>32.73</v>
      </c>
      <c r="E187" s="6" t="n">
        <f aca="false">'Delivery Details and calculatio'!$F$27</f>
        <v>41.61</v>
      </c>
      <c r="F187" s="6" t="n">
        <f aca="false">'Delivery Details and calculatio'!$F$28</f>
        <v>59.38</v>
      </c>
      <c r="G187" s="6" t="n">
        <f aca="false">'Delivery Details and calculatio'!$F$29</f>
        <v>77.09</v>
      </c>
      <c r="H187" s="6" t="n">
        <f aca="false">'Delivery Details and calculatio'!$F$30</f>
        <v>94.81</v>
      </c>
    </row>
    <row r="188" customFormat="false" ht="15" hidden="false" customHeight="false" outlineLevel="0" collapsed="false">
      <c r="A188" s="10" t="s">
        <v>246</v>
      </c>
      <c r="B188" s="10" t="n">
        <v>5</v>
      </c>
      <c r="C188" s="10" t="s">
        <v>58</v>
      </c>
      <c r="D188" s="6" t="n">
        <f aca="false">'Delivery Details and calculatio'!$F$26</f>
        <v>32.73</v>
      </c>
      <c r="E188" s="6" t="n">
        <f aca="false">'Delivery Details and calculatio'!$F$27</f>
        <v>41.61</v>
      </c>
      <c r="F188" s="6" t="n">
        <f aca="false">'Delivery Details and calculatio'!$F$28</f>
        <v>59.38</v>
      </c>
      <c r="G188" s="6" t="n">
        <f aca="false">'Delivery Details and calculatio'!$F$29</f>
        <v>77.09</v>
      </c>
      <c r="H188" s="6" t="n">
        <f aca="false">'Delivery Details and calculatio'!$F$30</f>
        <v>94.81</v>
      </c>
    </row>
    <row r="189" customFormat="false" ht="15" hidden="false" customHeight="false" outlineLevel="0" collapsed="false">
      <c r="A189" s="10" t="s">
        <v>247</v>
      </c>
      <c r="B189" s="10" t="n">
        <v>2</v>
      </c>
      <c r="C189" s="10" t="s">
        <v>63</v>
      </c>
      <c r="D189" s="6" t="n">
        <f aca="false">'Delivery Details and calculatio'!$B$26</f>
        <v>19.57</v>
      </c>
      <c r="E189" s="6" t="n">
        <f aca="false">'Delivery Details and calculatio'!$B$27</f>
        <v>25.51</v>
      </c>
      <c r="F189" s="6" t="n">
        <f aca="false">'Delivery Details and calculatio'!$B$28</f>
        <v>37.43</v>
      </c>
      <c r="G189" s="6" t="n">
        <f aca="false">'Delivery Details and calculatio'!$B$29</f>
        <v>49.35</v>
      </c>
      <c r="H189" s="6" t="n">
        <f aca="false">'Delivery Details and calculatio'!$B$30</f>
        <v>61.28</v>
      </c>
    </row>
    <row r="190" customFormat="false" ht="15" hidden="false" customHeight="false" outlineLevel="0" collapsed="false">
      <c r="A190" s="10" t="s">
        <v>248</v>
      </c>
      <c r="B190" s="10" t="n">
        <v>4</v>
      </c>
      <c r="C190" s="10" t="s">
        <v>60</v>
      </c>
      <c r="D190" s="6" t="n">
        <f aca="false">'Delivery Details and calculatio'!$D$26</f>
        <v>26.98</v>
      </c>
      <c r="E190" s="6" t="n">
        <f aca="false">'Delivery Details and calculatio'!$D$27</f>
        <v>33.77</v>
      </c>
      <c r="F190" s="6" t="n">
        <f aca="false">'Delivery Details and calculatio'!$D$28</f>
        <v>47.41</v>
      </c>
      <c r="G190" s="6" t="n">
        <f aca="false">'Delivery Details and calculatio'!$D$29</f>
        <v>60.99</v>
      </c>
      <c r="H190" s="6" t="n">
        <f aca="false">'Delivery Details and calculatio'!$D$30</f>
        <v>74.58</v>
      </c>
    </row>
    <row r="191" customFormat="false" ht="15" hidden="false" customHeight="false" outlineLevel="0" collapsed="false">
      <c r="A191" s="10" t="s">
        <v>249</v>
      </c>
      <c r="B191" s="10" t="n">
        <v>4</v>
      </c>
      <c r="C191" s="10" t="s">
        <v>60</v>
      </c>
      <c r="D191" s="6" t="n">
        <f aca="false">'Delivery Details and calculatio'!$D$26</f>
        <v>26.98</v>
      </c>
      <c r="E191" s="6" t="n">
        <f aca="false">'Delivery Details and calculatio'!$D$27</f>
        <v>33.77</v>
      </c>
      <c r="F191" s="6" t="n">
        <f aca="false">'Delivery Details and calculatio'!$D$28</f>
        <v>47.41</v>
      </c>
      <c r="G191" s="6" t="n">
        <f aca="false">'Delivery Details and calculatio'!$D$29</f>
        <v>60.99</v>
      </c>
      <c r="H191" s="6" t="n">
        <f aca="false">'Delivery Details and calculatio'!$D$30</f>
        <v>74.58</v>
      </c>
    </row>
    <row r="192" customFormat="false" ht="15" hidden="false" customHeight="false" outlineLevel="0" collapsed="false">
      <c r="A192" s="10" t="s">
        <v>250</v>
      </c>
      <c r="B192" s="10" t="n">
        <v>2</v>
      </c>
      <c r="C192" s="10" t="s">
        <v>63</v>
      </c>
      <c r="D192" s="6" t="n">
        <f aca="false">'Delivery Details and calculatio'!$B$26</f>
        <v>19.57</v>
      </c>
      <c r="E192" s="6" t="n">
        <f aca="false">'Delivery Details and calculatio'!$B$27</f>
        <v>25.51</v>
      </c>
      <c r="F192" s="6" t="n">
        <f aca="false">'Delivery Details and calculatio'!$B$28</f>
        <v>37.43</v>
      </c>
      <c r="G192" s="6" t="n">
        <f aca="false">'Delivery Details and calculatio'!$B$29</f>
        <v>49.35</v>
      </c>
      <c r="H192" s="6" t="n">
        <f aca="false">'Delivery Details and calculatio'!$B$30</f>
        <v>61.28</v>
      </c>
    </row>
    <row r="193" customFormat="false" ht="15" hidden="false" customHeight="false" outlineLevel="0" collapsed="false">
      <c r="A193" s="10" t="s">
        <v>251</v>
      </c>
      <c r="B193" s="10" t="n">
        <v>5</v>
      </c>
      <c r="C193" s="10" t="s">
        <v>58</v>
      </c>
      <c r="D193" s="6" t="n">
        <f aca="false">'Delivery Details and calculatio'!$F$26</f>
        <v>32.73</v>
      </c>
      <c r="E193" s="6" t="n">
        <f aca="false">'Delivery Details and calculatio'!$F$27</f>
        <v>41.61</v>
      </c>
      <c r="F193" s="6" t="n">
        <f aca="false">'Delivery Details and calculatio'!$F$28</f>
        <v>59.38</v>
      </c>
      <c r="G193" s="6" t="n">
        <f aca="false">'Delivery Details and calculatio'!$F$29</f>
        <v>77.09</v>
      </c>
      <c r="H193" s="6" t="n">
        <f aca="false">'Delivery Details and calculatio'!$F$30</f>
        <v>94.81</v>
      </c>
    </row>
    <row r="194" customFormat="false" ht="15" hidden="false" customHeight="false" outlineLevel="0" collapsed="false">
      <c r="A194" s="10" t="s">
        <v>252</v>
      </c>
      <c r="B194" s="10" t="n">
        <v>4</v>
      </c>
      <c r="C194" s="10" t="s">
        <v>60</v>
      </c>
      <c r="D194" s="6" t="n">
        <f aca="false">'Delivery Details and calculatio'!$D$26</f>
        <v>26.98</v>
      </c>
      <c r="E194" s="6" t="n">
        <f aca="false">'Delivery Details and calculatio'!$D$27</f>
        <v>33.77</v>
      </c>
      <c r="F194" s="6" t="n">
        <f aca="false">'Delivery Details and calculatio'!$D$28</f>
        <v>47.41</v>
      </c>
      <c r="G194" s="6" t="n">
        <f aca="false">'Delivery Details and calculatio'!$D$29</f>
        <v>60.99</v>
      </c>
      <c r="H194" s="6" t="n">
        <f aca="false">'Delivery Details and calculatio'!$D$30</f>
        <v>74.58</v>
      </c>
    </row>
    <row r="195" customFormat="false" ht="15" hidden="false" customHeight="false" outlineLevel="0" collapsed="false">
      <c r="A195" s="10" t="s">
        <v>253</v>
      </c>
      <c r="B195" s="10" t="n">
        <v>2</v>
      </c>
      <c r="C195" s="10" t="s">
        <v>63</v>
      </c>
      <c r="D195" s="6" t="n">
        <f aca="false">'Delivery Details and calculatio'!$B$26</f>
        <v>19.57</v>
      </c>
      <c r="E195" s="6" t="n">
        <f aca="false">'Delivery Details and calculatio'!$B$27</f>
        <v>25.51</v>
      </c>
      <c r="F195" s="6" t="n">
        <f aca="false">'Delivery Details and calculatio'!$B$28</f>
        <v>37.43</v>
      </c>
      <c r="G195" s="6" t="n">
        <f aca="false">'Delivery Details and calculatio'!$B$29</f>
        <v>49.35</v>
      </c>
      <c r="H195" s="6" t="n">
        <f aca="false">'Delivery Details and calculatio'!$B$30</f>
        <v>61.28</v>
      </c>
    </row>
    <row r="196" customFormat="false" ht="15" hidden="false" customHeight="false" outlineLevel="0" collapsed="false">
      <c r="A196" s="10" t="s">
        <v>254</v>
      </c>
      <c r="B196" s="10" t="n">
        <v>5</v>
      </c>
      <c r="C196" s="10" t="s">
        <v>58</v>
      </c>
      <c r="D196" s="6" t="n">
        <f aca="false">'Delivery Details and calculatio'!$F$26</f>
        <v>32.73</v>
      </c>
      <c r="E196" s="6" t="n">
        <f aca="false">'Delivery Details and calculatio'!$F$27</f>
        <v>41.61</v>
      </c>
      <c r="F196" s="6" t="n">
        <f aca="false">'Delivery Details and calculatio'!$F$28</f>
        <v>59.38</v>
      </c>
      <c r="G196" s="6" t="n">
        <f aca="false">'Delivery Details and calculatio'!$F$29</f>
        <v>77.09</v>
      </c>
      <c r="H196" s="6" t="n">
        <f aca="false">'Delivery Details and calculatio'!$F$30</f>
        <v>94.81</v>
      </c>
    </row>
    <row r="197" customFormat="false" ht="15" hidden="false" customHeight="false" outlineLevel="0" collapsed="false">
      <c r="A197" s="10" t="s">
        <v>255</v>
      </c>
      <c r="B197" s="10" t="n">
        <v>4</v>
      </c>
      <c r="C197" s="10" t="s">
        <v>60</v>
      </c>
      <c r="D197" s="6" t="n">
        <f aca="false">'Delivery Details and calculatio'!$D$26</f>
        <v>26.98</v>
      </c>
      <c r="E197" s="6" t="n">
        <f aca="false">'Delivery Details and calculatio'!$D$27</f>
        <v>33.77</v>
      </c>
      <c r="F197" s="6" t="n">
        <f aca="false">'Delivery Details and calculatio'!$D$28</f>
        <v>47.41</v>
      </c>
      <c r="G197" s="6" t="n">
        <f aca="false">'Delivery Details and calculatio'!$D$29</f>
        <v>60.99</v>
      </c>
      <c r="H197" s="6" t="n">
        <f aca="false">'Delivery Details and calculatio'!$D$30</f>
        <v>74.58</v>
      </c>
    </row>
    <row r="198" customFormat="false" ht="15" hidden="false" customHeight="false" outlineLevel="0" collapsed="false">
      <c r="A198" s="10" t="s">
        <v>256</v>
      </c>
      <c r="B198" s="10" t="n">
        <v>2</v>
      </c>
      <c r="C198" s="10" t="s">
        <v>63</v>
      </c>
      <c r="D198" s="6" t="n">
        <f aca="false">'Delivery Details and calculatio'!$B$26</f>
        <v>19.57</v>
      </c>
      <c r="E198" s="6" t="n">
        <f aca="false">'Delivery Details and calculatio'!$B$27</f>
        <v>25.51</v>
      </c>
      <c r="F198" s="6" t="n">
        <f aca="false">'Delivery Details and calculatio'!$B$28</f>
        <v>37.43</v>
      </c>
      <c r="G198" s="6" t="n">
        <f aca="false">'Delivery Details and calculatio'!$B$29</f>
        <v>49.35</v>
      </c>
      <c r="H198" s="6" t="n">
        <f aca="false">'Delivery Details and calculatio'!$B$30</f>
        <v>61.28</v>
      </c>
    </row>
    <row r="199" customFormat="false" ht="15" hidden="false" customHeight="false" outlineLevel="0" collapsed="false">
      <c r="A199" s="10" t="s">
        <v>257</v>
      </c>
      <c r="B199" s="10" t="n">
        <v>5</v>
      </c>
      <c r="C199" s="10" t="s">
        <v>58</v>
      </c>
      <c r="D199" s="6" t="n">
        <f aca="false">'Delivery Details and calculatio'!$F$26</f>
        <v>32.73</v>
      </c>
      <c r="E199" s="6" t="n">
        <f aca="false">'Delivery Details and calculatio'!$F$27</f>
        <v>41.61</v>
      </c>
      <c r="F199" s="6" t="n">
        <f aca="false">'Delivery Details and calculatio'!$F$28</f>
        <v>59.38</v>
      </c>
      <c r="G199" s="6" t="n">
        <f aca="false">'Delivery Details and calculatio'!$F$29</f>
        <v>77.09</v>
      </c>
      <c r="H199" s="6" t="n">
        <f aca="false">'Delivery Details and calculatio'!$F$30</f>
        <v>94.81</v>
      </c>
    </row>
    <row r="200" customFormat="false" ht="15" hidden="false" customHeight="false" outlineLevel="0" collapsed="false">
      <c r="A200" s="10" t="s">
        <v>258</v>
      </c>
      <c r="B200" s="10" t="n">
        <v>4</v>
      </c>
      <c r="C200" s="10" t="s">
        <v>60</v>
      </c>
      <c r="D200" s="6" t="n">
        <f aca="false">'Delivery Details and calculatio'!$D$26</f>
        <v>26.98</v>
      </c>
      <c r="E200" s="6" t="n">
        <f aca="false">'Delivery Details and calculatio'!$D$27</f>
        <v>33.77</v>
      </c>
      <c r="F200" s="6" t="n">
        <f aca="false">'Delivery Details and calculatio'!$D$28</f>
        <v>47.41</v>
      </c>
      <c r="G200" s="6" t="n">
        <f aca="false">'Delivery Details and calculatio'!$D$29</f>
        <v>60.99</v>
      </c>
      <c r="H200" s="6" t="n">
        <f aca="false">'Delivery Details and calculatio'!$D$30</f>
        <v>74.58</v>
      </c>
    </row>
    <row r="201" customFormat="false" ht="15" hidden="false" customHeight="false" outlineLevel="0" collapsed="false">
      <c r="A201" s="10" t="s">
        <v>259</v>
      </c>
      <c r="B201" s="10" t="n">
        <v>4</v>
      </c>
      <c r="C201" s="10" t="s">
        <v>60</v>
      </c>
      <c r="D201" s="6" t="n">
        <f aca="false">'Delivery Details and calculatio'!$D$26</f>
        <v>26.98</v>
      </c>
      <c r="E201" s="6" t="n">
        <f aca="false">'Delivery Details and calculatio'!$D$27</f>
        <v>33.77</v>
      </c>
      <c r="F201" s="6" t="n">
        <f aca="false">'Delivery Details and calculatio'!$D$28</f>
        <v>47.41</v>
      </c>
      <c r="G201" s="6" t="n">
        <f aca="false">'Delivery Details and calculatio'!$D$29</f>
        <v>60.99</v>
      </c>
      <c r="H201" s="6" t="n">
        <f aca="false">'Delivery Details and calculatio'!$D$30</f>
        <v>74.58</v>
      </c>
    </row>
    <row r="202" customFormat="false" ht="15" hidden="false" customHeight="false" outlineLevel="0" collapsed="false">
      <c r="A202" s="10" t="s">
        <v>260</v>
      </c>
      <c r="B202" s="10" t="n">
        <v>5</v>
      </c>
      <c r="C202" s="10" t="s">
        <v>58</v>
      </c>
      <c r="D202" s="6" t="n">
        <f aca="false">'Delivery Details and calculatio'!$F$26</f>
        <v>32.73</v>
      </c>
      <c r="E202" s="6" t="n">
        <f aca="false">'Delivery Details and calculatio'!$F$27</f>
        <v>41.61</v>
      </c>
      <c r="F202" s="6" t="n">
        <f aca="false">'Delivery Details and calculatio'!$F$28</f>
        <v>59.38</v>
      </c>
      <c r="G202" s="6" t="n">
        <f aca="false">'Delivery Details and calculatio'!$F$29</f>
        <v>77.09</v>
      </c>
      <c r="H202" s="6" t="n">
        <f aca="false">'Delivery Details and calculatio'!$F$30</f>
        <v>94.81</v>
      </c>
    </row>
    <row r="203" customFormat="false" ht="15" hidden="false" customHeight="false" outlineLevel="0" collapsed="false">
      <c r="A203" s="10" t="s">
        <v>261</v>
      </c>
      <c r="B203" s="10" t="n">
        <v>2</v>
      </c>
      <c r="C203" s="10" t="s">
        <v>63</v>
      </c>
      <c r="D203" s="6" t="n">
        <f aca="false">'Delivery Details and calculatio'!$B$26</f>
        <v>19.57</v>
      </c>
      <c r="E203" s="6" t="n">
        <f aca="false">'Delivery Details and calculatio'!$B$27</f>
        <v>25.51</v>
      </c>
      <c r="F203" s="6" t="n">
        <f aca="false">'Delivery Details and calculatio'!$B$28</f>
        <v>37.43</v>
      </c>
      <c r="G203" s="6" t="n">
        <f aca="false">'Delivery Details and calculatio'!$B$29</f>
        <v>49.35</v>
      </c>
      <c r="H203" s="6" t="n">
        <f aca="false">'Delivery Details and calculatio'!$B$30</f>
        <v>61.28</v>
      </c>
    </row>
    <row r="204" customFormat="false" ht="15" hidden="false" customHeight="false" outlineLevel="0" collapsed="false">
      <c r="A204" s="10" t="s">
        <v>262</v>
      </c>
      <c r="B204" s="10" t="n">
        <v>5</v>
      </c>
      <c r="C204" s="10" t="s">
        <v>58</v>
      </c>
      <c r="D204" s="6" t="n">
        <f aca="false">'Delivery Details and calculatio'!$F$26</f>
        <v>32.73</v>
      </c>
      <c r="E204" s="6" t="n">
        <f aca="false">'Delivery Details and calculatio'!$F$27</f>
        <v>41.61</v>
      </c>
      <c r="F204" s="6" t="n">
        <f aca="false">'Delivery Details and calculatio'!$F$28</f>
        <v>59.38</v>
      </c>
      <c r="G204" s="6" t="n">
        <f aca="false">'Delivery Details and calculatio'!$F$29</f>
        <v>77.09</v>
      </c>
      <c r="H204" s="6" t="n">
        <f aca="false">'Delivery Details and calculatio'!$F$30</f>
        <v>94.81</v>
      </c>
    </row>
    <row r="205" customFormat="false" ht="15" hidden="false" customHeight="false" outlineLevel="0" collapsed="false">
      <c r="A205" s="10" t="s">
        <v>263</v>
      </c>
      <c r="B205" s="10" t="n">
        <v>5</v>
      </c>
      <c r="C205" s="10" t="s">
        <v>58</v>
      </c>
      <c r="D205" s="6" t="n">
        <f aca="false">'Delivery Details and calculatio'!$F$26</f>
        <v>32.73</v>
      </c>
      <c r="E205" s="6" t="n">
        <f aca="false">'Delivery Details and calculatio'!$F$27</f>
        <v>41.61</v>
      </c>
      <c r="F205" s="6" t="n">
        <f aca="false">'Delivery Details and calculatio'!$F$28</f>
        <v>59.38</v>
      </c>
      <c r="G205" s="6" t="n">
        <f aca="false">'Delivery Details and calculatio'!$F$29</f>
        <v>77.09</v>
      </c>
      <c r="H205" s="6" t="n">
        <f aca="false">'Delivery Details and calculatio'!$F$30</f>
        <v>94.81</v>
      </c>
    </row>
    <row r="206" customFormat="false" ht="15" hidden="false" customHeight="false" outlineLevel="0" collapsed="false">
      <c r="A206" s="10" t="s">
        <v>264</v>
      </c>
      <c r="B206" s="10" t="n">
        <v>2</v>
      </c>
      <c r="C206" s="10" t="s">
        <v>63</v>
      </c>
      <c r="D206" s="6" t="n">
        <f aca="false">'Delivery Details and calculatio'!$B$26</f>
        <v>19.57</v>
      </c>
      <c r="E206" s="6" t="n">
        <f aca="false">'Delivery Details and calculatio'!$B$27</f>
        <v>25.51</v>
      </c>
      <c r="F206" s="6" t="n">
        <f aca="false">'Delivery Details and calculatio'!$B$28</f>
        <v>37.43</v>
      </c>
      <c r="G206" s="6" t="n">
        <f aca="false">'Delivery Details and calculatio'!$B$29</f>
        <v>49.35</v>
      </c>
      <c r="H206" s="6" t="n">
        <f aca="false">'Delivery Details and calculatio'!$B$30</f>
        <v>61.28</v>
      </c>
    </row>
    <row r="207" customFormat="false" ht="15" hidden="false" customHeight="false" outlineLevel="0" collapsed="false">
      <c r="A207" s="10" t="s">
        <v>265</v>
      </c>
      <c r="B207" s="10" t="n">
        <v>2</v>
      </c>
      <c r="C207" s="10" t="s">
        <v>63</v>
      </c>
      <c r="D207" s="6" t="n">
        <f aca="false">'Delivery Details and calculatio'!$B$26</f>
        <v>19.57</v>
      </c>
      <c r="E207" s="6" t="n">
        <f aca="false">'Delivery Details and calculatio'!$B$27</f>
        <v>25.51</v>
      </c>
      <c r="F207" s="6" t="n">
        <f aca="false">'Delivery Details and calculatio'!$B$28</f>
        <v>37.43</v>
      </c>
      <c r="G207" s="6" t="n">
        <f aca="false">'Delivery Details and calculatio'!$B$29</f>
        <v>49.35</v>
      </c>
      <c r="H207" s="6" t="n">
        <f aca="false">'Delivery Details and calculatio'!$B$30</f>
        <v>61.28</v>
      </c>
    </row>
    <row r="208" customFormat="false" ht="15" hidden="false" customHeight="false" outlineLevel="0" collapsed="false">
      <c r="A208" s="10" t="s">
        <v>266</v>
      </c>
      <c r="B208" s="10" t="n">
        <v>5</v>
      </c>
      <c r="C208" s="10" t="s">
        <v>58</v>
      </c>
      <c r="D208" s="6" t="n">
        <f aca="false">'Delivery Details and calculatio'!$F$26</f>
        <v>32.73</v>
      </c>
      <c r="E208" s="6" t="n">
        <f aca="false">'Delivery Details and calculatio'!$F$27</f>
        <v>41.61</v>
      </c>
      <c r="F208" s="6" t="n">
        <f aca="false">'Delivery Details and calculatio'!$F$28</f>
        <v>59.38</v>
      </c>
      <c r="G208" s="6" t="n">
        <f aca="false">'Delivery Details and calculatio'!$F$29</f>
        <v>77.09</v>
      </c>
      <c r="H208" s="6" t="n">
        <f aca="false">'Delivery Details and calculatio'!$F$30</f>
        <v>94.81</v>
      </c>
    </row>
    <row r="209" customFormat="false" ht="15" hidden="false" customHeight="false" outlineLevel="0" collapsed="false">
      <c r="A209" s="10" t="s">
        <v>267</v>
      </c>
      <c r="B209" s="10" t="n">
        <v>2</v>
      </c>
      <c r="C209" s="10" t="s">
        <v>63</v>
      </c>
      <c r="D209" s="6" t="n">
        <f aca="false">'Delivery Details and calculatio'!$B$26</f>
        <v>19.57</v>
      </c>
      <c r="E209" s="6" t="n">
        <f aca="false">'Delivery Details and calculatio'!$B$27</f>
        <v>25.51</v>
      </c>
      <c r="F209" s="6" t="n">
        <f aca="false">'Delivery Details and calculatio'!$B$28</f>
        <v>37.43</v>
      </c>
      <c r="G209" s="6" t="n">
        <f aca="false">'Delivery Details and calculatio'!$B$29</f>
        <v>49.35</v>
      </c>
      <c r="H209" s="6" t="n">
        <f aca="false">'Delivery Details and calculatio'!$B$30</f>
        <v>61.28</v>
      </c>
    </row>
    <row r="210" customFormat="false" ht="15" hidden="false" customHeight="false" outlineLevel="0" collapsed="false">
      <c r="A210" s="10" t="s">
        <v>268</v>
      </c>
      <c r="B210" s="10" t="n">
        <v>2</v>
      </c>
      <c r="C210" s="10" t="s">
        <v>63</v>
      </c>
      <c r="D210" s="6" t="n">
        <f aca="false">'Delivery Details and calculatio'!$B$26</f>
        <v>19.57</v>
      </c>
      <c r="E210" s="6" t="n">
        <f aca="false">'Delivery Details and calculatio'!$B$27</f>
        <v>25.51</v>
      </c>
      <c r="F210" s="6" t="n">
        <f aca="false">'Delivery Details and calculatio'!$B$28</f>
        <v>37.43</v>
      </c>
      <c r="G210" s="6" t="n">
        <f aca="false">'Delivery Details and calculatio'!$B$29</f>
        <v>49.35</v>
      </c>
      <c r="H210" s="6" t="n">
        <f aca="false">'Delivery Details and calculatio'!$B$30</f>
        <v>61.28</v>
      </c>
    </row>
    <row r="211" customFormat="false" ht="15" hidden="false" customHeight="false" outlineLevel="0" collapsed="false">
      <c r="A211" s="10" t="s">
        <v>269</v>
      </c>
      <c r="B211" s="10" t="n">
        <v>5</v>
      </c>
      <c r="C211" s="10" t="s">
        <v>58</v>
      </c>
      <c r="D211" s="6" t="n">
        <f aca="false">'Delivery Details and calculatio'!$F$26</f>
        <v>32.73</v>
      </c>
      <c r="E211" s="6" t="n">
        <f aca="false">'Delivery Details and calculatio'!$F$27</f>
        <v>41.61</v>
      </c>
      <c r="F211" s="6" t="n">
        <f aca="false">'Delivery Details and calculatio'!$F$28</f>
        <v>59.38</v>
      </c>
      <c r="G211" s="6" t="n">
        <f aca="false">'Delivery Details and calculatio'!$F$29</f>
        <v>77.09</v>
      </c>
      <c r="H211" s="6" t="n">
        <f aca="false">'Delivery Details and calculatio'!$F$30</f>
        <v>94.81</v>
      </c>
    </row>
    <row r="212" customFormat="false" ht="15" hidden="false" customHeight="false" outlineLevel="0" collapsed="false">
      <c r="A212" s="10" t="s">
        <v>270</v>
      </c>
      <c r="B212" s="10" t="n">
        <v>5</v>
      </c>
      <c r="C212" s="10" t="s">
        <v>58</v>
      </c>
      <c r="D212" s="6" t="n">
        <f aca="false">'Delivery Details and calculatio'!$F$26</f>
        <v>32.73</v>
      </c>
      <c r="E212" s="6" t="n">
        <f aca="false">'Delivery Details and calculatio'!$F$27</f>
        <v>41.61</v>
      </c>
      <c r="F212" s="6" t="n">
        <f aca="false">'Delivery Details and calculatio'!$F$28</f>
        <v>59.38</v>
      </c>
      <c r="G212" s="6" t="n">
        <f aca="false">'Delivery Details and calculatio'!$F$29</f>
        <v>77.09</v>
      </c>
      <c r="H212" s="6" t="n">
        <f aca="false">'Delivery Details and calculatio'!$F$30</f>
        <v>94.81</v>
      </c>
    </row>
    <row r="213" customFormat="false" ht="15" hidden="false" customHeight="false" outlineLevel="0" collapsed="false">
      <c r="A213" s="10" t="s">
        <v>271</v>
      </c>
      <c r="B213" s="10" t="n">
        <v>4</v>
      </c>
      <c r="C213" s="10" t="s">
        <v>60</v>
      </c>
      <c r="D213" s="6" t="n">
        <f aca="false">'Delivery Details and calculatio'!$D$26</f>
        <v>26.98</v>
      </c>
      <c r="E213" s="6" t="n">
        <f aca="false">'Delivery Details and calculatio'!$D$27</f>
        <v>33.77</v>
      </c>
      <c r="F213" s="6" t="n">
        <f aca="false">'Delivery Details and calculatio'!$D$28</f>
        <v>47.41</v>
      </c>
      <c r="G213" s="6" t="n">
        <f aca="false">'Delivery Details and calculatio'!$D$29</f>
        <v>60.99</v>
      </c>
      <c r="H213" s="6" t="n">
        <f aca="false">'Delivery Details and calculatio'!$D$30</f>
        <v>74.58</v>
      </c>
    </row>
    <row r="214" customFormat="false" ht="15" hidden="false" customHeight="false" outlineLevel="0" collapsed="false">
      <c r="A214" s="10" t="s">
        <v>272</v>
      </c>
      <c r="B214" s="10" t="n">
        <v>5</v>
      </c>
      <c r="C214" s="10" t="s">
        <v>58</v>
      </c>
      <c r="D214" s="6" t="n">
        <f aca="false">'Delivery Details and calculatio'!$F$26</f>
        <v>32.73</v>
      </c>
      <c r="E214" s="6" t="n">
        <f aca="false">'Delivery Details and calculatio'!$F$27</f>
        <v>41.61</v>
      </c>
      <c r="F214" s="6" t="n">
        <f aca="false">'Delivery Details and calculatio'!$F$28</f>
        <v>59.38</v>
      </c>
      <c r="G214" s="6" t="n">
        <f aca="false">'Delivery Details and calculatio'!$F$29</f>
        <v>77.09</v>
      </c>
      <c r="H214" s="6" t="n">
        <f aca="false">'Delivery Details and calculatio'!$F$30</f>
        <v>94.81</v>
      </c>
    </row>
    <row r="215" customFormat="false" ht="15" hidden="false" customHeight="false" outlineLevel="0" collapsed="false">
      <c r="A215" s="10" t="s">
        <v>273</v>
      </c>
      <c r="B215" s="10" t="n">
        <v>5</v>
      </c>
      <c r="C215" s="10" t="s">
        <v>58</v>
      </c>
      <c r="D215" s="6" t="n">
        <f aca="false">'Delivery Details and calculatio'!$F$26</f>
        <v>32.73</v>
      </c>
      <c r="E215" s="6" t="n">
        <f aca="false">'Delivery Details and calculatio'!$F$27</f>
        <v>41.61</v>
      </c>
      <c r="F215" s="6" t="n">
        <f aca="false">'Delivery Details and calculatio'!$F$28</f>
        <v>59.38</v>
      </c>
      <c r="G215" s="6" t="n">
        <f aca="false">'Delivery Details and calculatio'!$F$29</f>
        <v>77.09</v>
      </c>
      <c r="H215" s="6" t="n">
        <f aca="false">'Delivery Details and calculatio'!$F$30</f>
        <v>94.81</v>
      </c>
    </row>
    <row r="216" customFormat="false" ht="15" hidden="false" customHeight="false" outlineLevel="0" collapsed="false">
      <c r="A216" s="10" t="s">
        <v>274</v>
      </c>
      <c r="B216" s="10" t="n">
        <v>2</v>
      </c>
      <c r="C216" s="10" t="s">
        <v>63</v>
      </c>
      <c r="D216" s="6" t="n">
        <f aca="false">'Delivery Details and calculatio'!$B$26</f>
        <v>19.57</v>
      </c>
      <c r="E216" s="6" t="n">
        <f aca="false">'Delivery Details and calculatio'!$B$27</f>
        <v>25.51</v>
      </c>
      <c r="F216" s="6" t="n">
        <f aca="false">'Delivery Details and calculatio'!$B$28</f>
        <v>37.43</v>
      </c>
      <c r="G216" s="6" t="n">
        <f aca="false">'Delivery Details and calculatio'!$B$29</f>
        <v>49.35</v>
      </c>
      <c r="H216" s="6" t="n">
        <f aca="false">'Delivery Details and calculatio'!$B$30</f>
        <v>61.28</v>
      </c>
    </row>
    <row r="217" customFormat="false" ht="15" hidden="false" customHeight="false" outlineLevel="0" collapsed="false">
      <c r="A217" s="10" t="s">
        <v>275</v>
      </c>
      <c r="B217" s="10" t="n">
        <v>5</v>
      </c>
      <c r="C217" s="10" t="s">
        <v>58</v>
      </c>
      <c r="D217" s="6" t="n">
        <f aca="false">'Delivery Details and calculatio'!$F$26</f>
        <v>32.73</v>
      </c>
      <c r="E217" s="6" t="n">
        <f aca="false">'Delivery Details and calculatio'!$F$27</f>
        <v>41.61</v>
      </c>
      <c r="F217" s="6" t="n">
        <f aca="false">'Delivery Details and calculatio'!$F$28</f>
        <v>59.38</v>
      </c>
      <c r="G217" s="6" t="n">
        <f aca="false">'Delivery Details and calculatio'!$F$29</f>
        <v>77.09</v>
      </c>
      <c r="H217" s="6" t="n">
        <f aca="false">'Delivery Details and calculatio'!$F$30</f>
        <v>94.81</v>
      </c>
    </row>
    <row r="218" customFormat="false" ht="15" hidden="false" customHeight="false" outlineLevel="0" collapsed="false">
      <c r="A218" s="10" t="s">
        <v>276</v>
      </c>
      <c r="B218" s="10" t="n">
        <v>4</v>
      </c>
      <c r="C218" s="10" t="s">
        <v>60</v>
      </c>
      <c r="D218" s="6" t="n">
        <f aca="false">'Delivery Details and calculatio'!$D$26</f>
        <v>26.98</v>
      </c>
      <c r="E218" s="6" t="n">
        <f aca="false">'Delivery Details and calculatio'!$D$27</f>
        <v>33.77</v>
      </c>
      <c r="F218" s="6" t="n">
        <f aca="false">'Delivery Details and calculatio'!$D$28</f>
        <v>47.41</v>
      </c>
      <c r="G218" s="6" t="n">
        <f aca="false">'Delivery Details and calculatio'!$D$29</f>
        <v>60.99</v>
      </c>
      <c r="H218" s="6" t="n">
        <f aca="false">'Delivery Details and calculatio'!$D$30</f>
        <v>74.58</v>
      </c>
    </row>
    <row r="219" customFormat="false" ht="15" hidden="false" customHeight="false" outlineLevel="0" collapsed="false">
      <c r="A219" s="10" t="s">
        <v>277</v>
      </c>
      <c r="B219" s="10" t="n">
        <v>5</v>
      </c>
      <c r="C219" s="10" t="s">
        <v>58</v>
      </c>
      <c r="D219" s="6" t="n">
        <f aca="false">'Delivery Details and calculatio'!$F$26</f>
        <v>32.73</v>
      </c>
      <c r="E219" s="6" t="n">
        <f aca="false">'Delivery Details and calculatio'!$F$27</f>
        <v>41.61</v>
      </c>
      <c r="F219" s="6" t="n">
        <f aca="false">'Delivery Details and calculatio'!$F$28</f>
        <v>59.38</v>
      </c>
      <c r="G219" s="6" t="n">
        <f aca="false">'Delivery Details and calculatio'!$F$29</f>
        <v>77.09</v>
      </c>
      <c r="H219" s="6" t="n">
        <f aca="false">'Delivery Details and calculatio'!$F$30</f>
        <v>94.81</v>
      </c>
    </row>
    <row r="220" customFormat="false" ht="15" hidden="false" customHeight="false" outlineLevel="0" collapsed="false">
      <c r="A220" s="10" t="s">
        <v>278</v>
      </c>
      <c r="B220" s="10" t="n">
        <v>4</v>
      </c>
      <c r="C220" s="10" t="s">
        <v>160</v>
      </c>
      <c r="D220" s="6" t="n">
        <f aca="false">'Delivery Details and calculatio'!$E$17</f>
        <v>26.98</v>
      </c>
      <c r="E220" s="6" t="n">
        <f aca="false">'Delivery Details and calculatio'!$E$18</f>
        <v>33.77</v>
      </c>
      <c r="F220" s="6" t="n">
        <f aca="false">'Delivery Details and calculatio'!$E$19</f>
        <v>47.41</v>
      </c>
      <c r="G220" s="6" t="n">
        <f aca="false">'Delivery Details and calculatio'!$E$20</f>
        <v>60.99</v>
      </c>
      <c r="H220" s="6" t="n">
        <f aca="false">'Delivery Details and calculatio'!$E$21</f>
        <v>74.58</v>
      </c>
    </row>
    <row r="221" customFormat="false" ht="15" hidden="false" customHeight="false" outlineLevel="0" collapsed="false">
      <c r="A221" s="10" t="s">
        <v>279</v>
      </c>
      <c r="B221" s="10" t="n">
        <v>3</v>
      </c>
      <c r="C221" s="10" t="s">
        <v>97</v>
      </c>
      <c r="D221" s="6" t="n">
        <f aca="false">'Delivery Details and calculatio'!$D$17</f>
        <v>21.9</v>
      </c>
      <c r="E221" s="6" t="n">
        <f aca="false">'Delivery Details and calculatio'!$D$18</f>
        <v>28.45</v>
      </c>
      <c r="F221" s="6" t="n">
        <f aca="false">'Delivery Details and calculatio'!$D$19</f>
        <v>41.42</v>
      </c>
      <c r="G221" s="6" t="n">
        <f aca="false">'Delivery Details and calculatio'!$D$20</f>
        <v>54.53</v>
      </c>
      <c r="H221" s="6" t="n">
        <f aca="false">'Delivery Details and calculatio'!$D$21</f>
        <v>67.55</v>
      </c>
    </row>
    <row r="222" customFormat="false" ht="15" hidden="false" customHeight="false" outlineLevel="0" collapsed="false">
      <c r="A222" s="10" t="s">
        <v>280</v>
      </c>
      <c r="B222" s="10" t="n">
        <v>3</v>
      </c>
      <c r="C222" s="10" t="s">
        <v>97</v>
      </c>
      <c r="D222" s="6" t="n">
        <f aca="false">'Delivery Details and calculatio'!$D$17</f>
        <v>21.9</v>
      </c>
      <c r="E222" s="6" t="n">
        <f aca="false">'Delivery Details and calculatio'!$D$18</f>
        <v>28.45</v>
      </c>
      <c r="F222" s="6" t="n">
        <f aca="false">'Delivery Details and calculatio'!$D$19</f>
        <v>41.42</v>
      </c>
      <c r="G222" s="6" t="n">
        <f aca="false">'Delivery Details and calculatio'!$D$20</f>
        <v>54.53</v>
      </c>
      <c r="H222" s="6" t="n">
        <f aca="false">'Delivery Details and calculatio'!$D$21</f>
        <v>67.55</v>
      </c>
    </row>
    <row r="223" customFormat="false" ht="15" hidden="false" customHeight="false" outlineLevel="0" collapsed="false">
      <c r="A223" s="10" t="s">
        <v>281</v>
      </c>
      <c r="B223" s="10" t="n">
        <v>5</v>
      </c>
      <c r="C223" s="10" t="s">
        <v>58</v>
      </c>
      <c r="D223" s="6" t="n">
        <f aca="false">'Delivery Details and calculatio'!$F$26</f>
        <v>32.73</v>
      </c>
      <c r="E223" s="6" t="n">
        <f aca="false">'Delivery Details and calculatio'!$F$27</f>
        <v>41.61</v>
      </c>
      <c r="F223" s="6" t="n">
        <f aca="false">'Delivery Details and calculatio'!$F$28</f>
        <v>59.38</v>
      </c>
      <c r="G223" s="6" t="n">
        <f aca="false">'Delivery Details and calculatio'!$F$29</f>
        <v>77.09</v>
      </c>
      <c r="H223" s="6" t="n">
        <f aca="false">'Delivery Details and calculatio'!$F$30</f>
        <v>94.81</v>
      </c>
    </row>
    <row r="224" customFormat="false" ht="15" hidden="false" customHeight="false" outlineLevel="0" collapsed="false">
      <c r="A224" s="10" t="s">
        <v>282</v>
      </c>
      <c r="B224" s="10" t="n">
        <v>5</v>
      </c>
      <c r="C224" s="10" t="s">
        <v>58</v>
      </c>
      <c r="D224" s="6" t="n">
        <f aca="false">'Delivery Details and calculatio'!$F$26</f>
        <v>32.73</v>
      </c>
      <c r="E224" s="6" t="n">
        <f aca="false">'Delivery Details and calculatio'!$F$27</f>
        <v>41.61</v>
      </c>
      <c r="F224" s="6" t="n">
        <f aca="false">'Delivery Details and calculatio'!$F$28</f>
        <v>59.38</v>
      </c>
      <c r="G224" s="6" t="n">
        <f aca="false">'Delivery Details and calculatio'!$F$29</f>
        <v>77.09</v>
      </c>
      <c r="H224" s="6" t="n">
        <f aca="false">'Delivery Details and calculatio'!$F$30</f>
        <v>94.81</v>
      </c>
    </row>
    <row r="225" customFormat="false" ht="15" hidden="false" customHeight="false" outlineLevel="0" collapsed="false">
      <c r="A225" s="10" t="s">
        <v>283</v>
      </c>
      <c r="B225" s="10" t="n">
        <v>2</v>
      </c>
      <c r="C225" s="10" t="s">
        <v>63</v>
      </c>
      <c r="D225" s="6" t="n">
        <f aca="false">'Delivery Details and calculatio'!$B$26</f>
        <v>19.57</v>
      </c>
      <c r="E225" s="6" t="n">
        <f aca="false">'Delivery Details and calculatio'!$B$27</f>
        <v>25.51</v>
      </c>
      <c r="F225" s="6" t="n">
        <f aca="false">'Delivery Details and calculatio'!$B$28</f>
        <v>37.43</v>
      </c>
      <c r="G225" s="6" t="n">
        <f aca="false">'Delivery Details and calculatio'!$B$29</f>
        <v>49.35</v>
      </c>
      <c r="H225" s="6" t="n">
        <f aca="false">'Delivery Details and calculatio'!$B$30</f>
        <v>61.28</v>
      </c>
    </row>
    <row r="226" customFormat="false" ht="15" hidden="false" customHeight="false" outlineLevel="0" collapsed="false">
      <c r="A226" s="10" t="s">
        <v>284</v>
      </c>
      <c r="B226" s="10" t="n">
        <v>5</v>
      </c>
      <c r="C226" s="10" t="s">
        <v>58</v>
      </c>
      <c r="D226" s="6" t="n">
        <f aca="false">'Delivery Details and calculatio'!$F$26</f>
        <v>32.73</v>
      </c>
      <c r="E226" s="6" t="n">
        <f aca="false">'Delivery Details and calculatio'!$F$27</f>
        <v>41.61</v>
      </c>
      <c r="F226" s="6" t="n">
        <f aca="false">'Delivery Details and calculatio'!$F$28</f>
        <v>59.38</v>
      </c>
      <c r="G226" s="6" t="n">
        <f aca="false">'Delivery Details and calculatio'!$F$29</f>
        <v>77.09</v>
      </c>
      <c r="H226" s="6" t="n">
        <f aca="false">'Delivery Details and calculatio'!$F$30</f>
        <v>94.81</v>
      </c>
    </row>
    <row r="227" customFormat="false" ht="15" hidden="false" customHeight="false" outlineLevel="0" collapsed="false">
      <c r="A227" s="10" t="s">
        <v>285</v>
      </c>
      <c r="B227" s="10" t="n">
        <v>5</v>
      </c>
      <c r="C227" s="10" t="s">
        <v>58</v>
      </c>
      <c r="D227" s="6" t="n">
        <f aca="false">'Delivery Details and calculatio'!$F$26</f>
        <v>32.73</v>
      </c>
      <c r="E227" s="6" t="n">
        <f aca="false">'Delivery Details and calculatio'!$F$27</f>
        <v>41.61</v>
      </c>
      <c r="F227" s="6" t="n">
        <f aca="false">'Delivery Details and calculatio'!$F$28</f>
        <v>59.38</v>
      </c>
      <c r="G227" s="6" t="n">
        <f aca="false">'Delivery Details and calculatio'!$F$29</f>
        <v>77.09</v>
      </c>
      <c r="H227" s="6" t="n">
        <f aca="false">'Delivery Details and calculatio'!$F$30</f>
        <v>94.81</v>
      </c>
    </row>
    <row r="228" customFormat="false" ht="15" hidden="false" customHeight="false" outlineLevel="0" collapsed="false">
      <c r="A228" s="10" t="s">
        <v>286</v>
      </c>
      <c r="B228" s="10" t="n">
        <v>2</v>
      </c>
      <c r="C228" s="10" t="s">
        <v>63</v>
      </c>
      <c r="D228" s="6" t="n">
        <f aca="false">'Delivery Details and calculatio'!$B$26</f>
        <v>19.57</v>
      </c>
      <c r="E228" s="6" t="n">
        <f aca="false">'Delivery Details and calculatio'!$B$27</f>
        <v>25.51</v>
      </c>
      <c r="F228" s="6" t="n">
        <f aca="false">'Delivery Details and calculatio'!$B$28</f>
        <v>37.43</v>
      </c>
      <c r="G228" s="6" t="n">
        <f aca="false">'Delivery Details and calculatio'!$B$29</f>
        <v>49.35</v>
      </c>
      <c r="H228" s="6" t="n">
        <f aca="false">'Delivery Details and calculatio'!$B$30</f>
        <v>61.28</v>
      </c>
    </row>
    <row r="229" customFormat="false" ht="15" hidden="false" customHeight="false" outlineLevel="0" collapsed="false">
      <c r="A229" s="10" t="s">
        <v>287</v>
      </c>
      <c r="B229" s="10" t="n">
        <v>5</v>
      </c>
      <c r="C229" s="10" t="s">
        <v>58</v>
      </c>
      <c r="D229" s="6" t="n">
        <f aca="false">'Delivery Details and calculatio'!$F$26</f>
        <v>32.73</v>
      </c>
      <c r="E229" s="6" t="n">
        <f aca="false">'Delivery Details and calculatio'!$F$27</f>
        <v>41.61</v>
      </c>
      <c r="F229" s="6" t="n">
        <f aca="false">'Delivery Details and calculatio'!$F$28</f>
        <v>59.38</v>
      </c>
      <c r="G229" s="6" t="n">
        <f aca="false">'Delivery Details and calculatio'!$F$29</f>
        <v>77.09</v>
      </c>
      <c r="H229" s="6" t="n">
        <f aca="false">'Delivery Details and calculatio'!$F$30</f>
        <v>94.81</v>
      </c>
    </row>
    <row r="230" customFormat="false" ht="15" hidden="false" customHeight="false" outlineLevel="0" collapsed="false">
      <c r="A230" s="10" t="s">
        <v>288</v>
      </c>
      <c r="B230" s="10" t="n">
        <v>5</v>
      </c>
      <c r="C230" s="10" t="s">
        <v>58</v>
      </c>
      <c r="D230" s="6" t="n">
        <f aca="false">'Delivery Details and calculatio'!$F$26</f>
        <v>32.73</v>
      </c>
      <c r="E230" s="6" t="n">
        <f aca="false">'Delivery Details and calculatio'!$F$27</f>
        <v>41.61</v>
      </c>
      <c r="F230" s="6" t="n">
        <f aca="false">'Delivery Details and calculatio'!$F$28</f>
        <v>59.38</v>
      </c>
      <c r="G230" s="6" t="n">
        <f aca="false">'Delivery Details and calculatio'!$F$29</f>
        <v>77.09</v>
      </c>
      <c r="H230" s="6" t="n">
        <f aca="false">'Delivery Details and calculatio'!$F$30</f>
        <v>94.81</v>
      </c>
    </row>
    <row r="231" customFormat="false" ht="15" hidden="false" customHeight="false" outlineLevel="0" collapsed="false">
      <c r="A231" s="10" t="s">
        <v>289</v>
      </c>
      <c r="B231" s="10" t="n">
        <v>2</v>
      </c>
      <c r="C231" s="10" t="s">
        <v>63</v>
      </c>
      <c r="D231" s="6" t="n">
        <f aca="false">'Delivery Details and calculatio'!$B$26</f>
        <v>19.57</v>
      </c>
      <c r="E231" s="6" t="n">
        <f aca="false">'Delivery Details and calculatio'!$B$27</f>
        <v>25.51</v>
      </c>
      <c r="F231" s="6" t="n">
        <f aca="false">'Delivery Details and calculatio'!$B$28</f>
        <v>37.43</v>
      </c>
      <c r="G231" s="6" t="n">
        <f aca="false">'Delivery Details and calculatio'!$B$29</f>
        <v>49.35</v>
      </c>
      <c r="H231" s="6" t="n">
        <f aca="false">'Delivery Details and calculatio'!$B$30</f>
        <v>61.28</v>
      </c>
    </row>
    <row r="232" customFormat="false" ht="15" hidden="false" customHeight="false" outlineLevel="0" collapsed="false">
      <c r="A232" s="10" t="s">
        <v>290</v>
      </c>
      <c r="B232" s="10" t="n">
        <v>5</v>
      </c>
      <c r="C232" s="10" t="s">
        <v>58</v>
      </c>
      <c r="D232" s="6" t="n">
        <f aca="false">'Delivery Details and calculatio'!$F$26</f>
        <v>32.73</v>
      </c>
      <c r="E232" s="6" t="n">
        <f aca="false">'Delivery Details and calculatio'!$F$27</f>
        <v>41.61</v>
      </c>
      <c r="F232" s="6" t="n">
        <f aca="false">'Delivery Details and calculatio'!$F$28</f>
        <v>59.38</v>
      </c>
      <c r="G232" s="6" t="n">
        <f aca="false">'Delivery Details and calculatio'!$F$29</f>
        <v>77.09</v>
      </c>
      <c r="H232" s="6" t="n">
        <f aca="false">'Delivery Details and calculatio'!$F$30</f>
        <v>94.81</v>
      </c>
    </row>
    <row r="233" customFormat="false" ht="15" hidden="false" customHeight="false" outlineLevel="0" collapsed="false">
      <c r="A233" s="10" t="s">
        <v>291</v>
      </c>
      <c r="B233" s="10" t="n">
        <v>5</v>
      </c>
      <c r="C233" s="10" t="s">
        <v>58</v>
      </c>
      <c r="D233" s="6" t="n">
        <f aca="false">'Delivery Details and calculatio'!$F$26</f>
        <v>32.73</v>
      </c>
      <c r="E233" s="6" t="n">
        <f aca="false">'Delivery Details and calculatio'!$F$27</f>
        <v>41.61</v>
      </c>
      <c r="F233" s="6" t="n">
        <f aca="false">'Delivery Details and calculatio'!$F$28</f>
        <v>59.38</v>
      </c>
      <c r="G233" s="6" t="n">
        <f aca="false">'Delivery Details and calculatio'!$F$29</f>
        <v>77.09</v>
      </c>
      <c r="H233" s="6" t="n">
        <f aca="false">'Delivery Details and calculatio'!$F$30</f>
        <v>94.81</v>
      </c>
    </row>
    <row r="234" customFormat="false" ht="15" hidden="false" customHeight="false" outlineLevel="0" collapsed="false">
      <c r="A234" s="10" t="s">
        <v>292</v>
      </c>
      <c r="B234" s="10" t="n">
        <v>5</v>
      </c>
      <c r="C234" s="10" t="s">
        <v>58</v>
      </c>
      <c r="D234" s="6" t="n">
        <f aca="false">'Delivery Details and calculatio'!$F$26</f>
        <v>32.73</v>
      </c>
      <c r="E234" s="6" t="n">
        <f aca="false">'Delivery Details and calculatio'!$F$27</f>
        <v>41.61</v>
      </c>
      <c r="F234" s="6" t="n">
        <f aca="false">'Delivery Details and calculatio'!$F$28</f>
        <v>59.38</v>
      </c>
      <c r="G234" s="6" t="n">
        <f aca="false">'Delivery Details and calculatio'!$F$29</f>
        <v>77.09</v>
      </c>
      <c r="H234" s="6" t="n">
        <f aca="false">'Delivery Details and calculatio'!$F$30</f>
        <v>94.81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8"/>
    <col collapsed="false" customWidth="true" hidden="false" outlineLevel="0" max="3" min="3" style="0" width="16"/>
  </cols>
  <sheetData>
    <row r="1" customFormat="false" ht="16.15" hidden="false" customHeight="false" outlineLevel="0" collapsed="false">
      <c r="A1" s="8" t="s">
        <v>293</v>
      </c>
    </row>
    <row r="3" customFormat="false" ht="15" hidden="false" customHeight="false" outlineLevel="0" collapsed="false">
      <c r="A3" s="4" t="s">
        <v>294</v>
      </c>
      <c r="B3" s="4" t="s">
        <v>295</v>
      </c>
      <c r="C3" s="4" t="s">
        <v>296</v>
      </c>
    </row>
    <row r="4" customFormat="false" ht="15" hidden="false" customHeight="false" outlineLevel="0" collapsed="false">
      <c r="A4" s="10" t="s">
        <v>297</v>
      </c>
      <c r="B4" s="10" t="s">
        <v>297</v>
      </c>
      <c r="C4" s="10" t="s">
        <v>298</v>
      </c>
    </row>
    <row r="5" customFormat="false" ht="15" hidden="false" customHeight="false" outlineLevel="0" collapsed="false">
      <c r="A5" s="10"/>
      <c r="B5" s="10"/>
      <c r="C5" s="10" t="s">
        <v>299</v>
      </c>
    </row>
    <row r="6" customFormat="false" ht="15" hidden="false" customHeight="false" outlineLevel="0" collapsed="false">
      <c r="A6" s="10" t="s">
        <v>300</v>
      </c>
      <c r="B6" s="10" t="s">
        <v>300</v>
      </c>
      <c r="C6" s="10" t="s">
        <v>301</v>
      </c>
    </row>
    <row r="7" customFormat="false" ht="15" hidden="false" customHeight="false" outlineLevel="0" collapsed="false">
      <c r="A7" s="10" t="s">
        <v>302</v>
      </c>
      <c r="B7" s="10" t="s">
        <v>302</v>
      </c>
      <c r="C7" s="10" t="s">
        <v>298</v>
      </c>
    </row>
    <row r="8" customFormat="false" ht="15" hidden="false" customHeight="false" outlineLevel="0" collapsed="false">
      <c r="A8" s="10" t="s">
        <v>303</v>
      </c>
      <c r="B8" s="10" t="s">
        <v>303</v>
      </c>
      <c r="C8" s="10" t="s">
        <v>304</v>
      </c>
    </row>
    <row r="9" customFormat="false" ht="15" hidden="false" customHeight="false" outlineLevel="0" collapsed="false">
      <c r="A9" s="10" t="s">
        <v>305</v>
      </c>
      <c r="B9" s="10" t="s">
        <v>305</v>
      </c>
      <c r="C9" s="10" t="s">
        <v>306</v>
      </c>
    </row>
    <row r="10" customFormat="false" ht="15" hidden="false" customHeight="false" outlineLevel="0" collapsed="false">
      <c r="A10" s="10" t="s">
        <v>307</v>
      </c>
      <c r="B10" s="10" t="s">
        <v>307</v>
      </c>
      <c r="C10" s="10" t="s">
        <v>308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16"/>
    <col collapsed="false" customWidth="true" hidden="false" outlineLevel="0" max="3" min="3" style="0" width="14"/>
    <col collapsed="false" customWidth="true" hidden="false" outlineLevel="0" max="4" min="4" style="0" width="18"/>
    <col collapsed="false" customWidth="true" hidden="false" outlineLevel="0" max="5" min="5" style="0" width="16"/>
  </cols>
  <sheetData>
    <row r="1" customFormat="false" ht="16.15" hidden="false" customHeight="false" outlineLevel="0" collapsed="false">
      <c r="A1" s="8" t="s">
        <v>309</v>
      </c>
    </row>
    <row r="3" customFormat="false" ht="15" hidden="false" customHeight="false" outlineLevel="0" collapsed="false">
      <c r="A3" s="4" t="s">
        <v>294</v>
      </c>
      <c r="B3" s="4" t="s">
        <v>295</v>
      </c>
      <c r="C3" s="4" t="s">
        <v>310</v>
      </c>
      <c r="D3" s="4" t="s">
        <v>311</v>
      </c>
      <c r="E3" s="4" t="s">
        <v>312</v>
      </c>
    </row>
    <row r="4" customFormat="false" ht="15" hidden="false" customHeight="false" outlineLevel="0" collapsed="false">
      <c r="A4" s="10" t="s">
        <v>297</v>
      </c>
      <c r="B4" s="10" t="s">
        <v>297</v>
      </c>
      <c r="C4" s="10" t="s">
        <v>298</v>
      </c>
      <c r="D4" s="6" t="n">
        <v>11</v>
      </c>
      <c r="E4" s="6" t="n">
        <v>14</v>
      </c>
    </row>
    <row r="5" customFormat="false" ht="15" hidden="false" customHeight="false" outlineLevel="0" collapsed="false">
      <c r="A5" s="10" t="s">
        <v>297</v>
      </c>
      <c r="B5" s="10" t="s">
        <v>297</v>
      </c>
      <c r="C5" s="10" t="s">
        <v>299</v>
      </c>
      <c r="D5" s="6" t="n">
        <v>21.5</v>
      </c>
      <c r="E5" s="6" t="n">
        <v>28</v>
      </c>
    </row>
    <row r="6" customFormat="false" ht="15" hidden="false" customHeight="false" outlineLevel="0" collapsed="false">
      <c r="A6" s="10" t="s">
        <v>313</v>
      </c>
      <c r="B6" s="10" t="s">
        <v>314</v>
      </c>
      <c r="C6" s="10" t="s">
        <v>315</v>
      </c>
      <c r="D6" s="6" t="n">
        <v>35</v>
      </c>
      <c r="E6" s="6" t="n">
        <v>56</v>
      </c>
    </row>
    <row r="7" customFormat="false" ht="15" hidden="false" customHeight="false" outlineLevel="0" collapsed="false">
      <c r="A7" s="10" t="s">
        <v>300</v>
      </c>
      <c r="B7" s="10"/>
      <c r="C7" s="10" t="s">
        <v>301</v>
      </c>
      <c r="D7" s="6" t="n">
        <v>7</v>
      </c>
      <c r="E7" s="6" t="n">
        <v>8.49</v>
      </c>
    </row>
    <row r="8" customFormat="false" ht="15" hidden="false" customHeight="false" outlineLevel="0" collapsed="false">
      <c r="A8" s="10" t="s">
        <v>302</v>
      </c>
      <c r="B8" s="10"/>
      <c r="C8" s="10" t="s">
        <v>298</v>
      </c>
      <c r="D8" s="6" t="n">
        <v>7.5</v>
      </c>
      <c r="E8" s="6" t="n">
        <v>10</v>
      </c>
    </row>
    <row r="9" customFormat="false" ht="15" hidden="false" customHeight="false" outlineLevel="0" collapsed="false">
      <c r="A9" s="10" t="s">
        <v>303</v>
      </c>
      <c r="B9" s="10"/>
      <c r="C9" s="10" t="s">
        <v>304</v>
      </c>
      <c r="D9" s="6" t="n">
        <v>17</v>
      </c>
      <c r="E9" s="6" t="n">
        <v>22.49</v>
      </c>
    </row>
    <row r="10" customFormat="false" ht="15" hidden="false" customHeight="false" outlineLevel="0" collapsed="false">
      <c r="A10" s="10" t="s">
        <v>305</v>
      </c>
      <c r="B10" s="10"/>
      <c r="C10" s="10" t="s">
        <v>306</v>
      </c>
      <c r="D10" s="6" t="n">
        <v>7</v>
      </c>
      <c r="E10" s="6" t="n">
        <v>9.49</v>
      </c>
    </row>
    <row r="11" customFormat="false" ht="15" hidden="false" customHeight="false" outlineLevel="0" collapsed="false">
      <c r="A11" s="10" t="s">
        <v>307</v>
      </c>
      <c r="B11" s="10"/>
      <c r="C11" s="10" t="s">
        <v>308</v>
      </c>
      <c r="D11" s="6" t="n">
        <v>17</v>
      </c>
      <c r="E11" s="6" t="n">
        <v>23.39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2026-08-09T03:50:02Z</dcterms:created>
  <dc:creator>openpyxl</dc:creator>
  <dc:description/>
  <dc:language>en-US</dc:language>
  <cp:lastModifiedBy/>
  <dcterms:modified xsi:type="dcterms:W3CDTF">2026-08-09T03:50:47Z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